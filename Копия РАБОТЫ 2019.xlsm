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eb_vniifk\"/>
    </mc:Choice>
  </mc:AlternateContent>
  <bookViews>
    <workbookView minimized="1" xWindow="0" yWindow="0" windowWidth="20880" windowHeight="8160" tabRatio="812" activeTab="4"/>
  </bookViews>
  <sheets>
    <sheet name="XML" sheetId="15" r:id="rId1"/>
    <sheet name="ЦСП_ЭБ" sheetId="11" r:id="rId2"/>
    <sheet name="ЭБ_ЦСП_XML1" sheetId="13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functionGroups builtInGroupCount="18"/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2" i="11" l="1"/>
  <c r="BR2" i="11"/>
  <c r="BS2" i="11"/>
  <c r="BT2" i="11"/>
  <c r="BU2" i="11"/>
  <c r="BV2" i="11"/>
  <c r="BW2" i="11"/>
  <c r="BX2" i="11"/>
  <c r="BY2" i="11"/>
  <c r="BZ2" i="11"/>
  <c r="CA2" i="11"/>
  <c r="BQ3" i="11"/>
  <c r="BR3" i="11"/>
  <c r="BS3" i="11"/>
  <c r="BT3" i="11"/>
  <c r="BU3" i="11"/>
  <c r="BV3" i="11"/>
  <c r="BW3" i="11"/>
  <c r="BX3" i="11"/>
  <c r="BY3" i="11"/>
  <c r="BZ3" i="11"/>
  <c r="CA3" i="11"/>
  <c r="BQ4" i="11"/>
  <c r="BR4" i="11"/>
  <c r="BS4" i="11"/>
  <c r="BT4" i="11"/>
  <c r="BU4" i="11"/>
  <c r="BV4" i="11"/>
  <c r="BW4" i="11"/>
  <c r="BX4" i="11"/>
  <c r="BY4" i="11"/>
  <c r="BZ4" i="11"/>
  <c r="CA4" i="11"/>
  <c r="BQ6" i="11"/>
  <c r="BR6" i="11"/>
  <c r="BS6" i="11"/>
  <c r="BT6" i="11"/>
  <c r="BU6" i="11"/>
  <c r="BV6" i="11"/>
  <c r="BW6" i="11"/>
  <c r="BX6" i="11"/>
  <c r="BY6" i="11"/>
  <c r="BZ6" i="11"/>
  <c r="CA6" i="11"/>
  <c r="BQ7" i="11"/>
  <c r="BR7" i="11"/>
  <c r="BS7" i="11"/>
  <c r="BT7" i="11"/>
  <c r="BU7" i="11"/>
  <c r="BV7" i="11"/>
  <c r="BW7" i="11"/>
  <c r="BX7" i="11"/>
  <c r="BY7" i="11"/>
  <c r="BZ7" i="11"/>
  <c r="CA7" i="11"/>
  <c r="BQ8" i="11"/>
  <c r="BR8" i="11"/>
  <c r="BS8" i="11"/>
  <c r="BT8" i="11"/>
  <c r="BU8" i="11"/>
  <c r="BV8" i="11"/>
  <c r="BW8" i="11"/>
  <c r="BX8" i="11"/>
  <c r="BY8" i="11"/>
  <c r="BZ8" i="11"/>
  <c r="CA8" i="11"/>
  <c r="BQ9" i="11"/>
  <c r="BR9" i="11"/>
  <c r="BS9" i="11"/>
  <c r="BT9" i="11"/>
  <c r="BU9" i="11"/>
  <c r="BV9" i="11"/>
  <c r="BW9" i="11"/>
  <c r="BX9" i="11"/>
  <c r="BY9" i="11"/>
  <c r="BZ9" i="11"/>
  <c r="CA9" i="11"/>
  <c r="BQ11" i="11"/>
  <c r="BR11" i="11"/>
  <c r="BS11" i="11"/>
  <c r="BT11" i="11"/>
  <c r="BU11" i="11"/>
  <c r="BV11" i="11"/>
  <c r="BW11" i="11"/>
  <c r="BX11" i="11"/>
  <c r="BY11" i="11"/>
  <c r="BZ11" i="11"/>
  <c r="CA11" i="11"/>
  <c r="BQ12" i="11"/>
  <c r="BR12" i="11"/>
  <c r="BS12" i="11"/>
  <c r="BT12" i="11"/>
  <c r="BU12" i="11"/>
  <c r="BV12" i="11"/>
  <c r="BW12" i="11"/>
  <c r="BX12" i="11"/>
  <c r="BY12" i="11"/>
  <c r="BZ12" i="11"/>
  <c r="CA12" i="11"/>
  <c r="BQ13" i="11"/>
  <c r="BR13" i="11"/>
  <c r="BS13" i="11"/>
  <c r="BT13" i="11"/>
  <c r="BU13" i="11"/>
  <c r="BV13" i="11"/>
  <c r="BW13" i="11"/>
  <c r="BX13" i="11"/>
  <c r="BY13" i="11"/>
  <c r="BZ13" i="11"/>
  <c r="CA13" i="11"/>
  <c r="BP13" i="11"/>
  <c r="BP12" i="11"/>
  <c r="BP11" i="11"/>
  <c r="BP9" i="11"/>
  <c r="BP8" i="11"/>
  <c r="BP7" i="11"/>
  <c r="BP6" i="11"/>
  <c r="BP4" i="11"/>
  <c r="BP3" i="11"/>
  <c r="BP2" i="11"/>
  <c r="BE11" i="11"/>
  <c r="BF11" i="11"/>
  <c r="BG11" i="11"/>
  <c r="BH11" i="11"/>
  <c r="BI11" i="11"/>
  <c r="BJ11" i="11"/>
  <c r="BK11" i="11"/>
  <c r="BL11" i="11"/>
  <c r="BM11" i="11"/>
  <c r="BN11" i="11"/>
  <c r="BO11" i="11"/>
  <c r="BE12" i="11"/>
  <c r="BF12" i="11"/>
  <c r="BG12" i="11"/>
  <c r="BH12" i="11"/>
  <c r="BI12" i="11"/>
  <c r="BJ12" i="11"/>
  <c r="BK12" i="11"/>
  <c r="BL12" i="11"/>
  <c r="BM12" i="11"/>
  <c r="BN12" i="11"/>
  <c r="BO12" i="11"/>
  <c r="BE13" i="11"/>
  <c r="BF13" i="11"/>
  <c r="BG13" i="11"/>
  <c r="BH13" i="11"/>
  <c r="BI13" i="11"/>
  <c r="BJ13" i="11"/>
  <c r="BK13" i="11"/>
  <c r="BL13" i="11"/>
  <c r="BM13" i="11"/>
  <c r="BN13" i="11"/>
  <c r="BO13" i="11"/>
  <c r="BE6" i="11"/>
  <c r="BF6" i="11"/>
  <c r="BG6" i="11"/>
  <c r="BH6" i="11"/>
  <c r="BI6" i="11"/>
  <c r="BJ6" i="11"/>
  <c r="BK6" i="11"/>
  <c r="BL6" i="11"/>
  <c r="BM6" i="11"/>
  <c r="BN6" i="11"/>
  <c r="BO6" i="11"/>
  <c r="BE7" i="11"/>
  <c r="BF7" i="11"/>
  <c r="BG7" i="11"/>
  <c r="BH7" i="11"/>
  <c r="BI7" i="11"/>
  <c r="BJ7" i="11"/>
  <c r="BK7" i="11"/>
  <c r="BL7" i="11"/>
  <c r="BM7" i="11"/>
  <c r="BN7" i="11"/>
  <c r="BO7" i="11"/>
  <c r="BE8" i="11"/>
  <c r="BF8" i="11"/>
  <c r="BG8" i="11"/>
  <c r="BH8" i="11"/>
  <c r="BI8" i="11"/>
  <c r="BJ8" i="11"/>
  <c r="BK8" i="11"/>
  <c r="BL8" i="11"/>
  <c r="BM8" i="11"/>
  <c r="BN8" i="11"/>
  <c r="BO8" i="11"/>
  <c r="BE9" i="11"/>
  <c r="BF9" i="11"/>
  <c r="BG9" i="11"/>
  <c r="BH9" i="11"/>
  <c r="BI9" i="11"/>
  <c r="BJ9" i="11"/>
  <c r="BK9" i="11"/>
  <c r="BL9" i="11"/>
  <c r="BM9" i="11"/>
  <c r="BN9" i="11"/>
  <c r="BO9" i="11"/>
  <c r="BE3" i="11"/>
  <c r="BF3" i="11"/>
  <c r="BG3" i="11"/>
  <c r="BH3" i="11"/>
  <c r="BI3" i="11"/>
  <c r="BJ3" i="11"/>
  <c r="BK3" i="11"/>
  <c r="BL3" i="11"/>
  <c r="BM3" i="11"/>
  <c r="BN3" i="11"/>
  <c r="BO3" i="11"/>
  <c r="BE4" i="11"/>
  <c r="BF4" i="11"/>
  <c r="BG4" i="11"/>
  <c r="BH4" i="11"/>
  <c r="BI4" i="11"/>
  <c r="BJ4" i="11"/>
  <c r="BK4" i="11"/>
  <c r="BL4" i="11"/>
  <c r="BM4" i="11"/>
  <c r="BN4" i="11"/>
  <c r="BO4" i="11"/>
  <c r="BE2" i="11"/>
  <c r="BF2" i="11"/>
  <c r="BG2" i="11"/>
  <c r="BH2" i="11"/>
  <c r="BI2" i="11"/>
  <c r="BJ2" i="11"/>
  <c r="BK2" i="11"/>
  <c r="BL2" i="11"/>
  <c r="BM2" i="11"/>
  <c r="BN2" i="11"/>
  <c r="BO2" i="11"/>
  <c r="BD13" i="11"/>
  <c r="BD12" i="11"/>
  <c r="BD11" i="11"/>
  <c r="BD9" i="11"/>
  <c r="BD8" i="11"/>
  <c r="BD7" i="11"/>
  <c r="BD6" i="11"/>
  <c r="BD4" i="11"/>
  <c r="BD3" i="11"/>
  <c r="BD2" i="11"/>
  <c r="AS13" i="11"/>
  <c r="AT13" i="11"/>
  <c r="AU13" i="11"/>
  <c r="AV13" i="11"/>
  <c r="AW13" i="11"/>
  <c r="AX13" i="11"/>
  <c r="AY13" i="11"/>
  <c r="AZ13" i="11"/>
  <c r="BA13" i="11"/>
  <c r="BB13" i="11"/>
  <c r="BC13" i="11"/>
  <c r="AR13" i="11"/>
  <c r="AS11" i="11"/>
  <c r="AT11" i="11"/>
  <c r="AU11" i="11"/>
  <c r="AV11" i="11"/>
  <c r="AW11" i="11"/>
  <c r="AX11" i="11"/>
  <c r="AY11" i="11"/>
  <c r="AZ11" i="11"/>
  <c r="BA11" i="11"/>
  <c r="BB11" i="11"/>
  <c r="BC11" i="11"/>
  <c r="AS12" i="11"/>
  <c r="AT12" i="11"/>
  <c r="AU12" i="11"/>
  <c r="AV12" i="11"/>
  <c r="AW12" i="11"/>
  <c r="AX12" i="11"/>
  <c r="AY12" i="11"/>
  <c r="AZ12" i="11"/>
  <c r="BA12" i="11"/>
  <c r="BB12" i="11"/>
  <c r="BC12" i="11"/>
  <c r="AS6" i="11"/>
  <c r="AT6" i="11"/>
  <c r="AU6" i="11"/>
  <c r="AV6" i="11"/>
  <c r="AW6" i="11"/>
  <c r="AX6" i="11"/>
  <c r="AY6" i="11"/>
  <c r="AZ6" i="11"/>
  <c r="BA6" i="11"/>
  <c r="BB6" i="11"/>
  <c r="BC6" i="11"/>
  <c r="AS7" i="11"/>
  <c r="AT7" i="11"/>
  <c r="AU7" i="11"/>
  <c r="AV7" i="11"/>
  <c r="AW7" i="11"/>
  <c r="AX7" i="11"/>
  <c r="AY7" i="11"/>
  <c r="AZ7" i="11"/>
  <c r="BA7" i="11"/>
  <c r="BB7" i="11"/>
  <c r="BC7" i="11"/>
  <c r="AS8" i="11"/>
  <c r="AT8" i="11"/>
  <c r="AU8" i="11"/>
  <c r="AV8" i="11"/>
  <c r="AW8" i="11"/>
  <c r="AX8" i="11"/>
  <c r="AY8" i="11"/>
  <c r="AZ8" i="11"/>
  <c r="BA8" i="11"/>
  <c r="BB8" i="11"/>
  <c r="BC8" i="11"/>
  <c r="AS9" i="11"/>
  <c r="AT9" i="11"/>
  <c r="AU9" i="11"/>
  <c r="AV9" i="11"/>
  <c r="AW9" i="11"/>
  <c r="AX9" i="11"/>
  <c r="AY9" i="11"/>
  <c r="AZ9" i="11"/>
  <c r="BA9" i="11"/>
  <c r="BB9" i="11"/>
  <c r="BC9" i="11"/>
  <c r="AS2" i="11"/>
  <c r="AT2" i="11"/>
  <c r="AU2" i="11"/>
  <c r="AV2" i="11"/>
  <c r="AW2" i="11"/>
  <c r="AX2" i="11"/>
  <c r="AY2" i="11"/>
  <c r="AZ2" i="11"/>
  <c r="BA2" i="11"/>
  <c r="BB2" i="11"/>
  <c r="BC2" i="11"/>
  <c r="AS3" i="11"/>
  <c r="AT3" i="11"/>
  <c r="AU3" i="11"/>
  <c r="AV3" i="11"/>
  <c r="AW3" i="11"/>
  <c r="AX3" i="11"/>
  <c r="AY3" i="11"/>
  <c r="AZ3" i="11"/>
  <c r="BA3" i="11"/>
  <c r="BB3" i="11"/>
  <c r="BC3" i="11"/>
  <c r="AS4" i="11"/>
  <c r="AT4" i="11"/>
  <c r="AU4" i="11"/>
  <c r="AV4" i="11"/>
  <c r="AW4" i="11"/>
  <c r="AX4" i="11"/>
  <c r="AY4" i="11"/>
  <c r="AZ4" i="11"/>
  <c r="BA4" i="11"/>
  <c r="BB4" i="11"/>
  <c r="BC4" i="11"/>
  <c r="AR12" i="11"/>
  <c r="AR11" i="11"/>
  <c r="AR9" i="11"/>
  <c r="AR8" i="11"/>
  <c r="AR7" i="11"/>
  <c r="AR6" i="11"/>
  <c r="AR4" i="11"/>
  <c r="AR3" i="11"/>
  <c r="AR2" i="11"/>
  <c r="AG11" i="11"/>
  <c r="AH11" i="11"/>
  <c r="AI11" i="11"/>
  <c r="AJ11" i="11"/>
  <c r="AK11" i="11"/>
  <c r="AL11" i="11"/>
  <c r="AM11" i="11"/>
  <c r="AN11" i="11"/>
  <c r="AO11" i="11"/>
  <c r="AP11" i="11"/>
  <c r="AQ11" i="11"/>
  <c r="AG12" i="11"/>
  <c r="AH12" i="11"/>
  <c r="AI12" i="11"/>
  <c r="AJ12" i="11"/>
  <c r="AK12" i="11"/>
  <c r="AL12" i="11"/>
  <c r="AM12" i="11"/>
  <c r="AN12" i="11"/>
  <c r="AO12" i="11"/>
  <c r="AP12" i="11"/>
  <c r="AQ12" i="11"/>
  <c r="AG13" i="11"/>
  <c r="AH13" i="11"/>
  <c r="AI13" i="11"/>
  <c r="AJ13" i="11"/>
  <c r="AK13" i="11"/>
  <c r="AL13" i="11"/>
  <c r="AM13" i="11"/>
  <c r="AN13" i="11"/>
  <c r="AO13" i="11"/>
  <c r="AP13" i="11"/>
  <c r="AQ13" i="11"/>
  <c r="AG6" i="11"/>
  <c r="AH6" i="11"/>
  <c r="AI6" i="11"/>
  <c r="AJ6" i="11"/>
  <c r="AK6" i="11"/>
  <c r="AL6" i="11"/>
  <c r="AM6" i="11"/>
  <c r="AN6" i="11"/>
  <c r="AO6" i="11"/>
  <c r="AP6" i="11"/>
  <c r="AQ6" i="11"/>
  <c r="AG7" i="11"/>
  <c r="AH7" i="11"/>
  <c r="AI7" i="11"/>
  <c r="AJ7" i="11"/>
  <c r="AK7" i="11"/>
  <c r="AL7" i="11"/>
  <c r="AM7" i="11"/>
  <c r="AN7" i="11"/>
  <c r="AO7" i="11"/>
  <c r="AP7" i="11"/>
  <c r="AQ7" i="11"/>
  <c r="AG8" i="11"/>
  <c r="AH8" i="11"/>
  <c r="AI8" i="11"/>
  <c r="AJ8" i="11"/>
  <c r="AK8" i="11"/>
  <c r="AL8" i="11"/>
  <c r="AM8" i="11"/>
  <c r="AN8" i="11"/>
  <c r="AO8" i="11"/>
  <c r="AP8" i="11"/>
  <c r="AQ8" i="11"/>
  <c r="AG9" i="11"/>
  <c r="AH9" i="11"/>
  <c r="AI9" i="11"/>
  <c r="AJ9" i="11"/>
  <c r="AK9" i="11"/>
  <c r="AL9" i="11"/>
  <c r="AM9" i="11"/>
  <c r="AN9" i="11"/>
  <c r="AO9" i="11"/>
  <c r="AP9" i="11"/>
  <c r="AQ9" i="11"/>
  <c r="AF13" i="11"/>
  <c r="AF12" i="11"/>
  <c r="AF11" i="11"/>
  <c r="AF9" i="11"/>
  <c r="AF8" i="11"/>
  <c r="AF7" i="11"/>
  <c r="AF6" i="11"/>
  <c r="AG4" i="11"/>
  <c r="AH4" i="11"/>
  <c r="AI4" i="11"/>
  <c r="AJ4" i="11"/>
  <c r="AK4" i="11"/>
  <c r="AL4" i="11"/>
  <c r="AM4" i="11"/>
  <c r="AN4" i="11"/>
  <c r="AO4" i="11"/>
  <c r="AP4" i="11"/>
  <c r="AQ4" i="11"/>
  <c r="AF4" i="11"/>
  <c r="AG3" i="11"/>
  <c r="AH3" i="11"/>
  <c r="AI3" i="11"/>
  <c r="AJ3" i="11"/>
  <c r="AK3" i="11"/>
  <c r="AL3" i="11"/>
  <c r="AM3" i="11"/>
  <c r="AN3" i="11"/>
  <c r="AO3" i="11"/>
  <c r="AP3" i="11"/>
  <c r="AQ3" i="11"/>
  <c r="AF3" i="11"/>
  <c r="AG2" i="11"/>
  <c r="AH2" i="11"/>
  <c r="AI2" i="11"/>
  <c r="AJ2" i="11"/>
  <c r="AK2" i="11"/>
  <c r="AL2" i="11"/>
  <c r="AM2" i="11"/>
  <c r="AN2" i="11"/>
  <c r="AO2" i="11"/>
  <c r="AP2" i="11"/>
  <c r="AQ2" i="11"/>
  <c r="AF2" i="11"/>
  <c r="T4" i="11"/>
  <c r="F2" i="11"/>
  <c r="G2" i="11"/>
  <c r="B3" i="11"/>
  <c r="D3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D1" i="11"/>
  <c r="B1" i="11"/>
  <c r="U8" i="11"/>
  <c r="V8" i="11"/>
  <c r="W8" i="11"/>
  <c r="X8" i="11"/>
  <c r="Y8" i="11"/>
  <c r="Z8" i="11"/>
  <c r="AA8" i="11"/>
  <c r="AB8" i="11"/>
  <c r="AC8" i="11"/>
  <c r="AD8" i="11"/>
  <c r="AE8" i="11"/>
  <c r="T8" i="11"/>
  <c r="I8" i="11"/>
  <c r="J8" i="11"/>
  <c r="K8" i="11"/>
  <c r="L8" i="11"/>
  <c r="M8" i="11"/>
  <c r="N8" i="11"/>
  <c r="O8" i="11"/>
  <c r="P8" i="11"/>
  <c r="Q8" i="11"/>
  <c r="R8" i="11"/>
  <c r="S8" i="11"/>
  <c r="H8" i="11"/>
  <c r="U9" i="11"/>
  <c r="V9" i="11"/>
  <c r="W9" i="11"/>
  <c r="X9" i="11"/>
  <c r="Y9" i="11"/>
  <c r="Z9" i="11"/>
  <c r="AA9" i="11"/>
  <c r="AB9" i="11"/>
  <c r="AC9" i="11"/>
  <c r="AD9" i="11"/>
  <c r="AE9" i="11"/>
  <c r="T9" i="11"/>
  <c r="I9" i="11"/>
  <c r="J9" i="11"/>
  <c r="K9" i="11"/>
  <c r="L9" i="11"/>
  <c r="M9" i="11"/>
  <c r="N9" i="11"/>
  <c r="O9" i="11"/>
  <c r="P9" i="11"/>
  <c r="Q9" i="11"/>
  <c r="R9" i="11"/>
  <c r="S9" i="11"/>
  <c r="H9" i="11"/>
  <c r="U10" i="11"/>
  <c r="V10" i="11"/>
  <c r="W10" i="11"/>
  <c r="X10" i="11"/>
  <c r="Y10" i="11"/>
  <c r="Z10" i="11"/>
  <c r="AA10" i="11"/>
  <c r="AB10" i="11"/>
  <c r="AC10" i="11"/>
  <c r="AD10" i="11"/>
  <c r="AE10" i="11"/>
  <c r="T10" i="11"/>
  <c r="AG10" i="11"/>
  <c r="AH10" i="11"/>
  <c r="AI10" i="11"/>
  <c r="AJ10" i="11"/>
  <c r="AK10" i="11"/>
  <c r="AL10" i="11"/>
  <c r="AM10" i="11"/>
  <c r="AN10" i="11"/>
  <c r="AO10" i="11"/>
  <c r="AP10" i="11"/>
  <c r="AQ10" i="11"/>
  <c r="AF10" i="11"/>
  <c r="AS10" i="11"/>
  <c r="AT10" i="11"/>
  <c r="AU10" i="11"/>
  <c r="AV10" i="11"/>
  <c r="AW10" i="11"/>
  <c r="AX10" i="11"/>
  <c r="AY10" i="11"/>
  <c r="AZ10" i="11"/>
  <c r="BA10" i="11"/>
  <c r="BB10" i="11"/>
  <c r="BC10" i="11"/>
  <c r="AR10" i="11"/>
  <c r="U11" i="11"/>
  <c r="V11" i="11"/>
  <c r="W11" i="11"/>
  <c r="X11" i="11"/>
  <c r="Y11" i="11"/>
  <c r="Z11" i="11"/>
  <c r="AA11" i="11"/>
  <c r="AB11" i="11"/>
  <c r="AC11" i="11"/>
  <c r="AD11" i="11"/>
  <c r="AE11" i="11"/>
  <c r="T11" i="11"/>
  <c r="U12" i="11"/>
  <c r="V12" i="11"/>
  <c r="W12" i="11"/>
  <c r="X12" i="11"/>
  <c r="Y12" i="11"/>
  <c r="Z12" i="11"/>
  <c r="AA12" i="11"/>
  <c r="AB12" i="11"/>
  <c r="AC12" i="11"/>
  <c r="AD12" i="11"/>
  <c r="AE12" i="11"/>
  <c r="T12" i="11"/>
  <c r="U13" i="11"/>
  <c r="V13" i="11"/>
  <c r="W13" i="11"/>
  <c r="X13" i="11"/>
  <c r="Y13" i="11"/>
  <c r="Z13" i="11"/>
  <c r="AA13" i="11"/>
  <c r="AB13" i="11"/>
  <c r="AC13" i="11"/>
  <c r="AD13" i="11"/>
  <c r="AE13" i="11"/>
  <c r="T13" i="11"/>
  <c r="I13" i="11"/>
  <c r="J13" i="11"/>
  <c r="K13" i="11"/>
  <c r="L13" i="11"/>
  <c r="M13" i="11"/>
  <c r="N13" i="11"/>
  <c r="O13" i="11"/>
  <c r="P13" i="11"/>
  <c r="Q13" i="11"/>
  <c r="R13" i="11"/>
  <c r="S13" i="11"/>
  <c r="H13" i="11"/>
  <c r="I12" i="11"/>
  <c r="J12" i="11"/>
  <c r="K12" i="11"/>
  <c r="L12" i="11"/>
  <c r="M12" i="11"/>
  <c r="N12" i="11"/>
  <c r="O12" i="11"/>
  <c r="P12" i="11"/>
  <c r="Q12" i="11"/>
  <c r="R12" i="11"/>
  <c r="S12" i="11"/>
  <c r="H12" i="11"/>
  <c r="I11" i="11"/>
  <c r="J11" i="11"/>
  <c r="K11" i="11"/>
  <c r="L11" i="11"/>
  <c r="M11" i="11"/>
  <c r="N11" i="11"/>
  <c r="O11" i="11"/>
  <c r="P11" i="11"/>
  <c r="Q11" i="11"/>
  <c r="R11" i="11"/>
  <c r="S11" i="11"/>
  <c r="H11" i="11"/>
  <c r="F13" i="11"/>
  <c r="G13" i="11"/>
  <c r="E13" i="11"/>
  <c r="F12" i="11"/>
  <c r="G12" i="11"/>
  <c r="E12" i="11"/>
  <c r="F11" i="11"/>
  <c r="G11" i="11"/>
  <c r="E11" i="11"/>
  <c r="I10" i="11"/>
  <c r="J10" i="11"/>
  <c r="K10" i="11"/>
  <c r="L10" i="11"/>
  <c r="M10" i="11"/>
  <c r="N10" i="11"/>
  <c r="O10" i="11"/>
  <c r="P10" i="11"/>
  <c r="Q10" i="11"/>
  <c r="R10" i="11"/>
  <c r="S10" i="11"/>
  <c r="BE10" i="11"/>
  <c r="BF10" i="11"/>
  <c r="BG10" i="11"/>
  <c r="BH10" i="11"/>
  <c r="BI10" i="11"/>
  <c r="BJ10" i="11"/>
  <c r="BK10" i="11"/>
  <c r="BL10" i="11"/>
  <c r="BM10" i="11"/>
  <c r="BN10" i="11"/>
  <c r="BO10" i="11"/>
  <c r="BQ10" i="11"/>
  <c r="BR10" i="11"/>
  <c r="BS10" i="11"/>
  <c r="BT10" i="11"/>
  <c r="BU10" i="11"/>
  <c r="BV10" i="11"/>
  <c r="BW10" i="11"/>
  <c r="BX10" i="11"/>
  <c r="BY10" i="11"/>
  <c r="BZ10" i="11"/>
  <c r="CA10" i="11"/>
  <c r="BP10" i="11"/>
  <c r="BD10" i="11"/>
  <c r="H10" i="11"/>
  <c r="G10" i="11"/>
  <c r="F10" i="11"/>
  <c r="E10" i="11"/>
  <c r="F9" i="11"/>
  <c r="G9" i="11"/>
  <c r="E9" i="11"/>
  <c r="F8" i="11"/>
  <c r="G8" i="11"/>
  <c r="E8" i="11"/>
  <c r="U6" i="11"/>
  <c r="V6" i="11"/>
  <c r="W6" i="11"/>
  <c r="X6" i="11"/>
  <c r="Y6" i="11"/>
  <c r="Z6" i="11"/>
  <c r="AA6" i="11"/>
  <c r="AB6" i="11"/>
  <c r="AC6" i="11"/>
  <c r="AD6" i="11"/>
  <c r="AE6" i="11"/>
  <c r="U7" i="11"/>
  <c r="V7" i="11"/>
  <c r="W7" i="11"/>
  <c r="X7" i="11"/>
  <c r="Y7" i="11"/>
  <c r="Z7" i="11"/>
  <c r="AA7" i="11"/>
  <c r="AB7" i="11"/>
  <c r="AC7" i="11"/>
  <c r="AD7" i="11"/>
  <c r="AE7" i="11"/>
  <c r="T7" i="11"/>
  <c r="T6" i="11"/>
  <c r="I7" i="11"/>
  <c r="J7" i="11"/>
  <c r="K7" i="11"/>
  <c r="L7" i="11"/>
  <c r="M7" i="11"/>
  <c r="N7" i="11"/>
  <c r="O7" i="11"/>
  <c r="P7" i="11"/>
  <c r="Q7" i="11"/>
  <c r="R7" i="11"/>
  <c r="S7" i="11"/>
  <c r="H7" i="11"/>
  <c r="F7" i="11"/>
  <c r="G7" i="11"/>
  <c r="E7" i="11"/>
  <c r="I6" i="11"/>
  <c r="J6" i="11"/>
  <c r="K6" i="11"/>
  <c r="L6" i="11"/>
  <c r="M6" i="11"/>
  <c r="N6" i="11"/>
  <c r="O6" i="11"/>
  <c r="P6" i="11"/>
  <c r="Q6" i="11"/>
  <c r="R6" i="11"/>
  <c r="S6" i="11"/>
  <c r="H6" i="11"/>
  <c r="F6" i="11"/>
  <c r="G6" i="11"/>
  <c r="E6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U5" i="11"/>
  <c r="V5" i="11"/>
  <c r="W5" i="11"/>
  <c r="X5" i="11"/>
  <c r="Y5" i="11"/>
  <c r="Z5" i="11"/>
  <c r="AA5" i="11"/>
  <c r="AB5" i="11"/>
  <c r="AC5" i="11"/>
  <c r="AD5" i="11"/>
  <c r="AE5" i="11"/>
  <c r="T5" i="11"/>
  <c r="BQ5" i="11"/>
  <c r="BR5" i="11"/>
  <c r="BS5" i="11"/>
  <c r="BT5" i="11"/>
  <c r="BU5" i="11"/>
  <c r="BV5" i="11"/>
  <c r="BW5" i="11"/>
  <c r="BX5" i="11"/>
  <c r="BY5" i="11"/>
  <c r="BZ5" i="11"/>
  <c r="CA5" i="11"/>
  <c r="BP5" i="11"/>
  <c r="BE5" i="11"/>
  <c r="BF5" i="11"/>
  <c r="BG5" i="11"/>
  <c r="BH5" i="11"/>
  <c r="BI5" i="11"/>
  <c r="BJ5" i="11"/>
  <c r="BK5" i="11"/>
  <c r="BL5" i="11"/>
  <c r="BM5" i="11"/>
  <c r="BN5" i="11"/>
  <c r="BO5" i="11"/>
  <c r="BD5" i="11"/>
  <c r="G5" i="11"/>
  <c r="F5" i="11"/>
  <c r="I5" i="11"/>
  <c r="J5" i="11"/>
  <c r="K5" i="11"/>
  <c r="L5" i="11"/>
  <c r="M5" i="11"/>
  <c r="N5" i="11"/>
  <c r="O5" i="11"/>
  <c r="P5" i="11"/>
  <c r="Q5" i="11"/>
  <c r="R5" i="11"/>
  <c r="S5" i="11"/>
  <c r="H5" i="11"/>
  <c r="E5" i="11"/>
  <c r="D5" i="11"/>
  <c r="B5" i="11"/>
  <c r="U4" i="11"/>
  <c r="V4" i="11"/>
  <c r="W4" i="11"/>
  <c r="X4" i="11"/>
  <c r="Y4" i="11"/>
  <c r="Z4" i="11"/>
  <c r="AA4" i="11"/>
  <c r="AB4" i="11"/>
  <c r="AC4" i="11"/>
  <c r="AD4" i="11"/>
  <c r="AE4" i="11"/>
  <c r="I4" i="11"/>
  <c r="J4" i="11"/>
  <c r="K4" i="11"/>
  <c r="L4" i="11"/>
  <c r="M4" i="11"/>
  <c r="N4" i="11"/>
  <c r="O4" i="11"/>
  <c r="P4" i="11"/>
  <c r="Q4" i="11"/>
  <c r="R4" i="11"/>
  <c r="S4" i="11"/>
  <c r="H4" i="11"/>
  <c r="F4" i="11"/>
  <c r="G4" i="11"/>
  <c r="E4" i="11"/>
  <c r="U2" i="11"/>
  <c r="V2" i="11"/>
  <c r="W2" i="11"/>
  <c r="X2" i="11"/>
  <c r="Y2" i="11"/>
  <c r="Z2" i="11"/>
  <c r="AA2" i="11"/>
  <c r="AB2" i="11"/>
  <c r="AC2" i="11"/>
  <c r="AD2" i="11"/>
  <c r="AE2" i="11"/>
  <c r="T2" i="11"/>
  <c r="E2" i="11"/>
  <c r="I2" i="11"/>
  <c r="J2" i="11"/>
  <c r="K2" i="11"/>
  <c r="L2" i="11"/>
  <c r="M2" i="11"/>
  <c r="N2" i="11"/>
  <c r="O2" i="11"/>
  <c r="P2" i="11"/>
  <c r="Q2" i="11"/>
  <c r="R2" i="11"/>
  <c r="S2" i="11"/>
  <c r="H2" i="11"/>
  <c r="D13" i="11"/>
  <c r="B13" i="11"/>
  <c r="B9" i="11"/>
  <c r="B10" i="11"/>
  <c r="B11" i="11"/>
  <c r="B12" i="11"/>
  <c r="D12" i="11"/>
  <c r="D11" i="11"/>
  <c r="D10" i="11"/>
  <c r="D8" i="11"/>
  <c r="D9" i="11"/>
  <c r="B8" i="11"/>
  <c r="B7" i="11"/>
  <c r="B4" i="11"/>
  <c r="D7" i="11"/>
  <c r="D6" i="11"/>
  <c r="D4" i="11"/>
  <c r="D2" i="11"/>
  <c r="B6" i="11"/>
  <c r="B2" i="1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F136" i="10"/>
  <c r="G32" i="2"/>
  <c r="G33" i="2"/>
  <c r="G34" i="2"/>
  <c r="G49" i="2"/>
  <c r="G50" i="2"/>
  <c r="G136" i="10"/>
  <c r="H32" i="2"/>
  <c r="H33" i="2"/>
  <c r="H34" i="2"/>
  <c r="H49" i="2"/>
  <c r="H50" i="2"/>
  <c r="H136" i="10"/>
  <c r="I32" i="2"/>
  <c r="I33" i="2"/>
  <c r="I34" i="2"/>
  <c r="I49" i="2"/>
  <c r="I50" i="2"/>
  <c r="I140" i="10"/>
  <c r="I136" i="10"/>
  <c r="J32" i="2"/>
  <c r="J33" i="2"/>
  <c r="J34" i="2"/>
  <c r="J49" i="2"/>
  <c r="J50" i="2"/>
  <c r="J136" i="10"/>
  <c r="K32" i="2"/>
  <c r="K33" i="2"/>
  <c r="K34" i="2"/>
  <c r="K49" i="2"/>
  <c r="K50" i="2"/>
  <c r="K136" i="10"/>
  <c r="L32" i="2"/>
  <c r="L33" i="2"/>
  <c r="L34" i="2"/>
  <c r="L49" i="2"/>
  <c r="L50" i="2"/>
  <c r="L136" i="10"/>
  <c r="M32" i="2"/>
  <c r="M33" i="2"/>
  <c r="M34" i="2"/>
  <c r="M49" i="2"/>
  <c r="M50" i="2"/>
  <c r="M136" i="10"/>
  <c r="N32" i="2"/>
  <c r="N33" i="2"/>
  <c r="N34" i="2"/>
  <c r="N49" i="2"/>
  <c r="N50" i="2"/>
  <c r="N136" i="10"/>
  <c r="O32" i="2"/>
  <c r="O33" i="2"/>
  <c r="O34" i="2"/>
  <c r="O49" i="2"/>
  <c r="O50" i="2"/>
  <c r="O136" i="10"/>
  <c r="P32" i="2"/>
  <c r="P33" i="2"/>
  <c r="P34" i="2"/>
  <c r="P49" i="2"/>
  <c r="P50" i="2"/>
  <c r="P136" i="10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G123" i="10"/>
  <c r="H8" i="3"/>
  <c r="H123" i="10"/>
  <c r="I8" i="3"/>
  <c r="I123" i="10"/>
  <c r="J8" i="3"/>
  <c r="J123" i="10"/>
  <c r="K8" i="3"/>
  <c r="K123" i="10"/>
  <c r="L8" i="3"/>
  <c r="L123" i="10"/>
  <c r="M8" i="3"/>
  <c r="M123" i="10"/>
  <c r="N8" i="3"/>
  <c r="N123" i="10"/>
  <c r="O8" i="3"/>
  <c r="O123" i="10"/>
  <c r="P8" i="3"/>
  <c r="P123" i="10"/>
  <c r="Q8" i="3"/>
  <c r="Q123" i="10"/>
  <c r="R8" i="3"/>
  <c r="F123" i="10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Q136" i="10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H59" i="1"/>
  <c r="I59" i="1"/>
  <c r="J59" i="1"/>
  <c r="K59" i="1"/>
  <c r="L59" i="1"/>
  <c r="M59" i="1"/>
  <c r="N59" i="1"/>
  <c r="O59" i="1"/>
  <c r="P59" i="1"/>
  <c r="Q59" i="1"/>
  <c r="R59" i="1"/>
  <c r="G59" i="1"/>
  <c r="H44" i="1"/>
  <c r="I44" i="1"/>
  <c r="J44" i="1"/>
  <c r="K44" i="1"/>
  <c r="L44" i="1"/>
  <c r="M44" i="1"/>
  <c r="N44" i="1"/>
  <c r="O44" i="1"/>
  <c r="P44" i="1"/>
  <c r="Q44" i="1"/>
  <c r="R44" i="1"/>
  <c r="G44" i="1"/>
  <c r="H32" i="1"/>
  <c r="I32" i="1"/>
  <c r="J32" i="1"/>
  <c r="K32" i="1"/>
  <c r="L32" i="1"/>
  <c r="M32" i="1"/>
  <c r="N32" i="1"/>
  <c r="O32" i="1"/>
  <c r="P32" i="1"/>
  <c r="Q32" i="1"/>
  <c r="R32" i="1"/>
  <c r="G32" i="1"/>
  <c r="H30" i="1"/>
  <c r="I30" i="1"/>
  <c r="J30" i="1"/>
  <c r="K30" i="1"/>
  <c r="L30" i="1"/>
  <c r="M30" i="1"/>
  <c r="N30" i="1"/>
  <c r="O30" i="1"/>
  <c r="P30" i="1"/>
  <c r="Q30" i="1"/>
  <c r="R30" i="1"/>
  <c r="G30" i="1"/>
  <c r="H28" i="1"/>
  <c r="I28" i="1"/>
  <c r="J28" i="1"/>
  <c r="K28" i="1"/>
  <c r="L28" i="1"/>
  <c r="M28" i="1"/>
  <c r="N28" i="1"/>
  <c r="O28" i="1"/>
  <c r="P28" i="1"/>
  <c r="Q28" i="1"/>
  <c r="R28" i="1"/>
  <c r="G28" i="1"/>
  <c r="H25" i="1"/>
  <c r="I25" i="1"/>
  <c r="J25" i="1"/>
  <c r="K25" i="1"/>
  <c r="L25" i="1"/>
  <c r="M25" i="1"/>
  <c r="N25" i="1"/>
  <c r="O25" i="1"/>
  <c r="P25" i="1"/>
  <c r="Q25" i="1"/>
  <c r="R25" i="1"/>
  <c r="G25" i="1"/>
  <c r="H23" i="1"/>
  <c r="I23" i="1"/>
  <c r="J23" i="1"/>
  <c r="K23" i="1"/>
  <c r="L23" i="1"/>
  <c r="M23" i="1"/>
  <c r="N23" i="1"/>
  <c r="O23" i="1"/>
  <c r="P23" i="1"/>
  <c r="Q23" i="1"/>
  <c r="R23" i="1"/>
  <c r="G23" i="1"/>
  <c r="G116" i="10"/>
  <c r="H16" i="1"/>
  <c r="H116" i="10"/>
  <c r="I16" i="1"/>
  <c r="I118" i="10"/>
  <c r="I119" i="10"/>
  <c r="I120" i="10"/>
  <c r="I121" i="10"/>
  <c r="I116" i="10"/>
  <c r="J16" i="1"/>
  <c r="J116" i="10"/>
  <c r="K16" i="1"/>
  <c r="K116" i="10"/>
  <c r="L16" i="1"/>
  <c r="L116" i="10"/>
  <c r="M16" i="1"/>
  <c r="M116" i="10"/>
  <c r="N16" i="1"/>
  <c r="N116" i="10"/>
  <c r="O16" i="1"/>
  <c r="O116" i="10"/>
  <c r="P16" i="1"/>
  <c r="P116" i="10"/>
  <c r="Q16" i="1"/>
  <c r="Q116" i="10"/>
  <c r="R16" i="1"/>
  <c r="F116" i="10"/>
  <c r="G16" i="1"/>
  <c r="G109" i="10"/>
  <c r="H14" i="1"/>
  <c r="H109" i="10"/>
  <c r="I14" i="1"/>
  <c r="I109" i="10"/>
  <c r="J14" i="1"/>
  <c r="J109" i="10"/>
  <c r="K14" i="1"/>
  <c r="K109" i="10"/>
  <c r="L14" i="1"/>
  <c r="L109" i="10"/>
  <c r="M14" i="1"/>
  <c r="M109" i="10"/>
  <c r="N14" i="1"/>
  <c r="N109" i="10"/>
  <c r="O14" i="1"/>
  <c r="O109" i="10"/>
  <c r="P14" i="1"/>
  <c r="P109" i="10"/>
  <c r="Q14" i="1"/>
  <c r="Q109" i="10"/>
  <c r="R14" i="1"/>
  <c r="F109" i="10"/>
  <c r="G14" i="1"/>
  <c r="H9" i="1"/>
  <c r="I9" i="1"/>
  <c r="J9" i="1"/>
  <c r="K9" i="1"/>
  <c r="L9" i="1"/>
  <c r="M9" i="1"/>
  <c r="N9" i="1"/>
  <c r="O9" i="1"/>
  <c r="P9" i="1"/>
  <c r="Q9" i="1"/>
  <c r="R9" i="1"/>
  <c r="G9" i="1"/>
  <c r="H7" i="1"/>
  <c r="I7" i="1"/>
  <c r="J7" i="1"/>
  <c r="K7" i="1"/>
  <c r="L7" i="1"/>
  <c r="M7" i="1"/>
  <c r="N7" i="1"/>
  <c r="O7" i="1"/>
  <c r="P7" i="1"/>
  <c r="Q7" i="1"/>
  <c r="R7" i="1"/>
  <c r="G7" i="1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8" i="1"/>
  <c r="G10" i="1"/>
  <c r="G11" i="1"/>
  <c r="G15" i="1"/>
  <c r="G17" i="1"/>
  <c r="G20" i="1"/>
  <c r="G24" i="1"/>
  <c r="G26" i="1"/>
  <c r="G27" i="1"/>
  <c r="G29" i="1"/>
  <c r="G31" i="1"/>
  <c r="G33" i="1"/>
  <c r="G45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H60" i="1"/>
  <c r="I60" i="1"/>
  <c r="N60" i="1"/>
  <c r="G60" i="1"/>
  <c r="J60" i="1"/>
  <c r="K60" i="1"/>
  <c r="L60" i="1"/>
  <c r="M60" i="1"/>
  <c r="O60" i="1"/>
  <c r="P60" i="1"/>
  <c r="Q60" i="1"/>
  <c r="R60" i="1"/>
  <c r="S60" i="1"/>
  <c r="I61" i="1"/>
  <c r="T63" i="1"/>
  <c r="I62" i="1"/>
  <c r="I63" i="1"/>
  <c r="T65" i="1"/>
  <c r="I64" i="1"/>
  <c r="I65" i="1"/>
  <c r="T67" i="1"/>
  <c r="I66" i="1"/>
  <c r="I67" i="1"/>
  <c r="H33" i="1"/>
  <c r="I33" i="1"/>
  <c r="I29" i="1"/>
  <c r="I31" i="1"/>
  <c r="I45" i="1"/>
  <c r="I37" i="1"/>
  <c r="I46" i="1"/>
  <c r="I15" i="1"/>
  <c r="I17" i="1"/>
  <c r="I20" i="1"/>
  <c r="I18" i="1"/>
  <c r="I19" i="1"/>
  <c r="I21" i="1"/>
  <c r="I22" i="1"/>
  <c r="I24" i="1"/>
  <c r="I26" i="1"/>
  <c r="I27" i="1"/>
  <c r="I34" i="1"/>
  <c r="I35" i="1"/>
  <c r="I47" i="1"/>
  <c r="I48" i="1"/>
  <c r="I10" i="1"/>
  <c r="I8" i="1"/>
  <c r="I11" i="1"/>
  <c r="I49" i="1"/>
  <c r="I12" i="1"/>
  <c r="I50" i="1"/>
  <c r="I13" i="1"/>
  <c r="I51" i="1"/>
  <c r="Q29" i="1"/>
  <c r="Q31" i="1"/>
  <c r="Q33" i="1"/>
  <c r="Q37" i="1"/>
  <c r="Q45" i="1"/>
  <c r="Q46" i="1"/>
  <c r="Q26" i="1"/>
  <c r="H26" i="1"/>
  <c r="J26" i="1"/>
  <c r="K26" i="1"/>
  <c r="L26" i="1"/>
  <c r="M26" i="1"/>
  <c r="N26" i="1"/>
  <c r="O26" i="1"/>
  <c r="P26" i="1"/>
  <c r="R26" i="1"/>
  <c r="H24" i="1"/>
  <c r="J24" i="1"/>
  <c r="K24" i="1"/>
  <c r="L24" i="1"/>
  <c r="M24" i="1"/>
  <c r="N24" i="1"/>
  <c r="O24" i="1"/>
  <c r="P24" i="1"/>
  <c r="R24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17" i="1"/>
  <c r="J15" i="1"/>
  <c r="J20" i="1"/>
  <c r="F22" i="1"/>
  <c r="E21" i="1"/>
  <c r="J8" i="1"/>
  <c r="J12" i="1"/>
  <c r="D11" i="1"/>
  <c r="R22" i="3"/>
  <c r="H34" i="1"/>
  <c r="J34" i="1"/>
  <c r="K34" i="1"/>
  <c r="L34" i="1"/>
  <c r="M34" i="1"/>
  <c r="N34" i="1"/>
  <c r="O34" i="1"/>
  <c r="P34" i="1"/>
  <c r="Q34" i="1"/>
  <c r="R34" i="1"/>
  <c r="H35" i="1"/>
  <c r="J35" i="1"/>
  <c r="K35" i="1"/>
  <c r="L35" i="1"/>
  <c r="M35" i="1"/>
  <c r="N35" i="1"/>
  <c r="O35" i="1"/>
  <c r="P35" i="1"/>
  <c r="Q35" i="1"/>
  <c r="R35" i="1"/>
  <c r="G35" i="1"/>
  <c r="G34" i="1"/>
  <c r="D27" i="1"/>
  <c r="H18" i="1"/>
  <c r="J18" i="1"/>
  <c r="K18" i="1"/>
  <c r="L18" i="1"/>
  <c r="M18" i="1"/>
  <c r="N18" i="1"/>
  <c r="O18" i="1"/>
  <c r="P18" i="1"/>
  <c r="Q18" i="1"/>
  <c r="R18" i="1"/>
  <c r="H19" i="1"/>
  <c r="J19" i="1"/>
  <c r="K19" i="1"/>
  <c r="L19" i="1"/>
  <c r="M19" i="1"/>
  <c r="N19" i="1"/>
  <c r="O19" i="1"/>
  <c r="P19" i="1"/>
  <c r="Q19" i="1"/>
  <c r="R19" i="1"/>
  <c r="G19" i="1"/>
  <c r="G18" i="1"/>
  <c r="H31" i="1"/>
  <c r="J31" i="1"/>
  <c r="K31" i="1"/>
  <c r="L31" i="1"/>
  <c r="M31" i="1"/>
  <c r="N31" i="1"/>
  <c r="O31" i="1"/>
  <c r="P31" i="1"/>
  <c r="R31" i="1"/>
  <c r="J33" i="1"/>
  <c r="K33" i="1"/>
  <c r="L33" i="1"/>
  <c r="M33" i="1"/>
  <c r="N33" i="1"/>
  <c r="O33" i="1"/>
  <c r="P33" i="1"/>
  <c r="R33" i="1"/>
  <c r="H37" i="1"/>
  <c r="J37" i="1"/>
  <c r="K37" i="1"/>
  <c r="L37" i="1"/>
  <c r="M37" i="1"/>
  <c r="N37" i="1"/>
  <c r="O37" i="1"/>
  <c r="P37" i="1"/>
  <c r="R37" i="1"/>
  <c r="H45" i="1"/>
  <c r="J45" i="1"/>
  <c r="K45" i="1"/>
  <c r="L45" i="1"/>
  <c r="M45" i="1"/>
  <c r="N45" i="1"/>
  <c r="O45" i="1"/>
  <c r="P45" i="1"/>
  <c r="R45" i="1"/>
  <c r="H29" i="1"/>
  <c r="J29" i="1"/>
  <c r="K29" i="1"/>
  <c r="L29" i="1"/>
  <c r="M29" i="1"/>
  <c r="N29" i="1"/>
  <c r="O29" i="1"/>
  <c r="P29" i="1"/>
  <c r="R29" i="1"/>
  <c r="H17" i="1"/>
  <c r="K17" i="1"/>
  <c r="L17" i="1"/>
  <c r="M17" i="1"/>
  <c r="N17" i="1"/>
  <c r="O17" i="1"/>
  <c r="P17" i="1"/>
  <c r="Q17" i="1"/>
  <c r="R17" i="1"/>
  <c r="H15" i="1"/>
  <c r="J21" i="1"/>
  <c r="K15" i="1"/>
  <c r="L15" i="1"/>
  <c r="L22" i="1"/>
  <c r="M15" i="1"/>
  <c r="M21" i="1"/>
  <c r="N15" i="1"/>
  <c r="N21" i="1"/>
  <c r="O15" i="1"/>
  <c r="P15" i="1"/>
  <c r="P21" i="1"/>
  <c r="Q15" i="1"/>
  <c r="R15" i="1"/>
  <c r="R21" i="1"/>
  <c r="G21" i="1"/>
  <c r="H10" i="1"/>
  <c r="J10" i="1"/>
  <c r="K10" i="1"/>
  <c r="L10" i="1"/>
  <c r="M10" i="1"/>
  <c r="N10" i="1"/>
  <c r="O10" i="1"/>
  <c r="P10" i="1"/>
  <c r="R10" i="1"/>
  <c r="H8" i="1"/>
  <c r="K8" i="1"/>
  <c r="L8" i="1"/>
  <c r="M8" i="1"/>
  <c r="N8" i="1"/>
  <c r="O8" i="1"/>
  <c r="P8" i="1"/>
  <c r="R8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8" i="1"/>
  <c r="Q12" i="1"/>
  <c r="Q13" i="1"/>
  <c r="S7" i="1"/>
  <c r="S8" i="1"/>
  <c r="S12" i="1"/>
  <c r="S13" i="1"/>
  <c r="S9" i="1"/>
  <c r="Q10" i="1"/>
  <c r="S10" i="1"/>
  <c r="Q11" i="1"/>
  <c r="S11" i="1"/>
  <c r="G50" i="1"/>
  <c r="G51" i="1"/>
  <c r="S23" i="1"/>
  <c r="Q24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<sst xmlns="http://schemas.openxmlformats.org/spreadsheetml/2006/main" count="1241" uniqueCount="369">
  <si>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</si>
  <si>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</si>
  <si>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</si>
  <si>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</si>
  <si>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</si>
  <si>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</si>
  <si>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</si>
  <si>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</si>
  <si>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</si>
  <si>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</si>
  <si>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</si>
  <si>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</si>
  <si>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</si>
  <si>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</si>
  <si>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</si>
  <si>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</si>
  <si>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</si>
  <si>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</si>
  <si>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</si>
  <si>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</si>
  <si>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</si>
  <si>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</si>
  <si>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</si>
  <si>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</si>
  <si>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</si>
  <si>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</si>
  <si>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</si>
  <si>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</si>
  <si>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</si>
  <si>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</si>
  <si>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</si>
  <si>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</si>
  <si>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</si>
  <si>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</si>
  <si>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</si>
  <si>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</si>
  <si>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</si>
  <si>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</si>
  <si>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</si>
  <si>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</si>
  <si>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</si>
  <si>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</si>
  <si>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</si>
  <si>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</si>
  <si>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</si>
  <si>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</si>
  <si>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</si>
  <si>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</si>
  <si>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</si>
  <si>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</si>
  <si>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</si>
  <si>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</si>
  <si>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</si>
  <si>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</si>
  <si>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</si>
  <si>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</si>
  <si>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</si>
  <si>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</si>
  <si>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</si>
  <si>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</si>
  <si>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</si>
  <si>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</si>
  <si>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</si>
  <si>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</si>
  <si>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</si>
  <si>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</si>
  <si>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</si>
  <si>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</si>
  <si>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</si>
  <si>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</si>
  <si>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</si>
  <si>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</si>
  <si>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</si>
  <si>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</si>
  <si>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</si>
  <si>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</si>
  <si>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</si>
  <si>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</si>
  <si>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</si>
  <si>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</si>
  <si>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</si>
  <si>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</si>
  <si>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</si>
  <si>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</si>
  <si>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</si>
  <si>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</si>
  <si>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</si>
  <si>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</si>
  <si>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</si>
  <si>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</si>
  <si>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</si>
  <si>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</si>
  <si>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</si>
  <si>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</si>
  <si>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</si>
  <si>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</si>
  <si>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</si>
  <si>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КБК 11021310190059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</si>
  <si>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</si>
  <si>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</si>
  <si>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</si>
  <si>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</si>
  <si>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</si>
  <si>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</si>
  <si>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</si>
  <si>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</si>
  <si>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</si>
  <si>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</si>
  <si>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</si>
  <si>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</si>
  <si>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</si>
  <si>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</si>
  <si>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</si>
  <si>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</si>
  <si>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</si>
  <si>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</si>
  <si>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</si>
  <si>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</si>
  <si>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</si>
  <si>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</si>
  <si>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Организация мероприятий по научно-методическому обеспечению спортивных сборных команд.</t>
  </si>
  <si>
    <t xml:space="preserve">Организация мероприятий по подготовке спортивных сборных команд. </t>
  </si>
  <si>
    <t>Организация и проведение официальных спортивных мероприятий.</t>
  </si>
  <si>
    <t>Обеспечение участия сборных команд Российской федерации в международных спортивных соревнованиях, Олимпийских играх.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</si>
  <si>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</si>
  <si>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</si>
  <si>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</si>
  <si>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</si>
  <si>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</si>
  <si>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</si>
  <si>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</si>
  <si>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</si>
  <si>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</si>
  <si>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</si>
  <si>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</si>
  <si>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</si>
  <si>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</si>
  <si>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</si>
  <si>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</si>
  <si>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</si>
  <si>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</si>
  <si>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</si>
  <si>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</si>
  <si>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</si>
  <si>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</si>
  <si>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</si>
  <si>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</si>
  <si>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</si>
  <si>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</si>
  <si>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</si>
  <si>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</si>
  <si>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</si>
  <si>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</si>
  <si>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</si>
  <si>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</si>
  <si>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</si>
  <si>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</si>
  <si>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</si>
  <si>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</si>
  <si>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</si>
  <si>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</si>
  <si>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</si>
  <si>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</si>
  <si>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</si>
  <si>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</si>
  <si>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</si>
  <si>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</si>
  <si>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</si>
  <si>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</si>
  <si>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</si>
  <si>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</si>
  <si>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</si>
  <si>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</si>
  <si>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</si>
  <si>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</si>
  <si>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</si>
  <si>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</si>
  <si>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</si>
  <si>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</si>
  <si>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</si>
  <si>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</si>
  <si>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</si>
  <si>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</si>
  <si>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</si>
  <si>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</si>
  <si>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</si>
  <si>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</si>
  <si>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</si>
  <si>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</si>
  <si>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</si>
  <si>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</si>
  <si>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</si>
  <si>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</si>
  <si>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</si>
  <si>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</si>
  <si>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</si>
  <si>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</si>
  <si>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</si>
  <si>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</si>
  <si>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</si>
  <si>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</si>
  <si>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</si>
  <si>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</si>
  <si>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</si>
  <si>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</si>
  <si>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</si>
  <si>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</si>
  <si>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</si>
  <si>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</si>
  <si>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</si>
  <si>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</si>
  <si>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</si>
  <si>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</si>
  <si>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</si>
  <si>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</si>
  <si>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</si>
  <si>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</si>
  <si>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</si>
  <si>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</si>
  <si>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</si>
  <si>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</si>
  <si>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</si>
  <si>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</si>
  <si>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</si>
  <si>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</si>
  <si>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</si>
  <si>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</si>
  <si>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</si>
  <si>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</si>
  <si>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</si>
  <si>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</si>
  <si>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</si>
  <si>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</si>
  <si>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</si>
  <si>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</si>
  <si>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</si>
  <si>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</si>
  <si>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</si>
  <si>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</si>
  <si>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</si>
  <si>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</si>
  <si>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</si>
  <si>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</si>
  <si>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</si>
  <si>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</si>
  <si>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</si>
  <si>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</si>
  <si>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</si>
  <si>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</si>
  <si>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</si>
  <si>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</si>
  <si>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код_1</t>
  </si>
  <si>
    <t>код_2</t>
  </si>
  <si>
    <t>Объем_1</t>
  </si>
  <si>
    <t>Объем_2</t>
  </si>
  <si>
    <t>Объем_3</t>
  </si>
  <si>
    <t>Норм_ОТ1</t>
  </si>
  <si>
    <t>Норм_МЗ</t>
  </si>
  <si>
    <t>Норм_ФР1</t>
  </si>
  <si>
    <t>Норм_ИНЗ</t>
  </si>
  <si>
    <t>Норм_КУ</t>
  </si>
  <si>
    <t>Норм_СНИ</t>
  </si>
  <si>
    <t>Норм_СОЦДИ</t>
  </si>
  <si>
    <t>Норм_ФР2</t>
  </si>
  <si>
    <t>Норм_УС</t>
  </si>
  <si>
    <t>Норм_ТУ</t>
  </si>
  <si>
    <t>Норм_ОТ2</t>
  </si>
  <si>
    <t>Норм_ПНЗ</t>
  </si>
  <si>
    <t>ОТ1_1</t>
  </si>
  <si>
    <t>ОТ1_2</t>
  </si>
  <si>
    <t>ОТ1_3</t>
  </si>
  <si>
    <t>МЗ_1</t>
  </si>
  <si>
    <t>ФР1_1</t>
  </si>
  <si>
    <t>ИНЗ_1</t>
  </si>
  <si>
    <t>КУ_1</t>
  </si>
  <si>
    <t>СНИ_1</t>
  </si>
  <si>
    <t>СОЦДИ_1</t>
  </si>
  <si>
    <t>ФР2_1</t>
  </si>
  <si>
    <t>УС_1</t>
  </si>
  <si>
    <t>ТУ_1</t>
  </si>
  <si>
    <t>ОТ2_1</t>
  </si>
  <si>
    <t>ПНЗ_1</t>
  </si>
  <si>
    <t>МЗ_2</t>
  </si>
  <si>
    <t>ФР1_2</t>
  </si>
  <si>
    <t>ИНЗ_2</t>
  </si>
  <si>
    <t>КУ_2</t>
  </si>
  <si>
    <t>СНИ_2</t>
  </si>
  <si>
    <t>СОЦДИ_2</t>
  </si>
  <si>
    <t>ФР2_2</t>
  </si>
  <si>
    <t>УС_2</t>
  </si>
  <si>
    <t>ТУ_2</t>
  </si>
  <si>
    <t>ОТ2_2</t>
  </si>
  <si>
    <t>ПНЗ_2</t>
  </si>
  <si>
    <t>МЗ_3</t>
  </si>
  <si>
    <t>ФР1_3</t>
  </si>
  <si>
    <t>ИНЗ_3</t>
  </si>
  <si>
    <t>КУ_3</t>
  </si>
  <si>
    <t>СНИ_3</t>
  </si>
  <si>
    <t>СОЦДИ_3</t>
  </si>
  <si>
    <t>ФР2_3</t>
  </si>
  <si>
    <t>УС_3</t>
  </si>
  <si>
    <t>ТУ_3</t>
  </si>
  <si>
    <t>ОТ2_3</t>
  </si>
  <si>
    <t>ПНЗ_3</t>
  </si>
  <si>
    <t>Норм_ОТ1_1</t>
  </si>
  <si>
    <t>Норм_ИНЗ_1</t>
  </si>
  <si>
    <t>Норм_КУ_1</t>
  </si>
  <si>
    <t>Норм_СНИ_1</t>
  </si>
  <si>
    <t>Норм_СОЦДИ_1</t>
  </si>
  <si>
    <t>Норм_ФР2_1</t>
  </si>
  <si>
    <t>Норм_УС_1</t>
  </si>
  <si>
    <t>Норм_ТУ_1</t>
  </si>
  <si>
    <t>Норм_ОТ2_1</t>
  </si>
  <si>
    <t>Норм_ПНЗ_1</t>
  </si>
  <si>
    <t>Норм_ОТ1_2</t>
  </si>
  <si>
    <t>Норм_МЗ_1</t>
  </si>
  <si>
    <t>Норм_ФР1_1</t>
  </si>
  <si>
    <t>Норм_МЗ_2</t>
  </si>
  <si>
    <t>Норм_ФР1_2</t>
  </si>
  <si>
    <t>Норм_ИНЗ_2</t>
  </si>
  <si>
    <t>Норм_КУ_2</t>
  </si>
  <si>
    <t>Норм_СНИ_2</t>
  </si>
  <si>
    <t>Норм_СОЦДИ_2</t>
  </si>
  <si>
    <t>Норм_ФР2_2</t>
  </si>
  <si>
    <t>Норм_УС_2</t>
  </si>
  <si>
    <t>Норм_ТУ_2</t>
  </si>
  <si>
    <t>Норм_ОТ2_2</t>
  </si>
  <si>
    <t>Норм_ПНЗ_2</t>
  </si>
  <si>
    <t>777 1103 13 2 01 90059 611 12</t>
  </si>
  <si>
    <t>ВСЕГО по КБК 777 1103 13 2 01 90059 611 12</t>
  </si>
  <si>
    <t>ВСЕГО по КБК 777 1103 13 2 05 90059 611 12</t>
  </si>
  <si>
    <t>777 1103 13 5 01 90059 611 12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</si>
  <si>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</si>
  <si>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</si>
  <si>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</si>
  <si>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</si>
  <si>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</si>
  <si>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</si>
  <si>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</si>
  <si>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</si>
  <si>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</si>
  <si>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</si>
  <si>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</si>
  <si>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</si>
  <si>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</si>
  <si>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</si>
  <si>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Mz_val_2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</si>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</sst>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29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0" fillId="0" borderId="0" xfId="0" applyNumberFormat="1"/>
    <xf numFmtId="49" fontId="0" fillId="0" borderId="0" xfId="0" applyNumberFormat="1" applyProtection="1"/>
    <xf numFmtId="0" fontId="0" fillId="0" borderId="0" xfId="0" applyNumberFormat="1" applyProtection="1"/>
    <xf numFmtId="4" fontId="0" fillId="0" borderId="0" xfId="0" applyNumberFormat="1"/>
    <xf numFmtId="3" fontId="0" fillId="0" borderId="0" xfId="0" applyNumberFormat="1"/>
    <xf numFmtId="4" fontId="0" fillId="0" borderId="0" xfId="0" quotePrefix="1" applyNumberFormat="1"/>
    <xf numFmtId="0" fontId="7" fillId="2" borderId="6" xfId="0" applyNumberFormat="1" applyFont="1" applyFill="1" applyBorder="1" applyAlignment="1">
      <alignment horizontal="center" vertical="center" wrapText="1"/>
    </xf>
    <xf numFmtId="0" fontId="7" fillId="11" borderId="16" xfId="0" applyNumberFormat="1" applyFont="1" applyFill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2" xfId="4" applyFont="1" applyBorder="1" applyAlignment="1">
      <alignment horizontal="center" vertical="center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69">
    <dxf>
      <numFmt numFmtId="4" formatCode="#,##0.00"/>
    </dxf>
    <dxf>
      <border outline="0">
        <bottom style="thin">
          <color indexed="64"/>
        </bottom>
      </border>
    </dxf>
    <dxf>
      <numFmt numFmtId="4" formatCode="#,##0.00"/>
    </dxf>
    <dxf>
      <numFmt numFmtId="4" formatCode="#,##0.00"/>
    </dxf>
    <dxf>
      <border outline="0">
        <bottom style="thin">
          <color indexed="64"/>
        </bottom>
      </border>
    </dxf>
    <dxf>
      <numFmt numFmtId="4" formatCode="#,##0.00"/>
    </dxf>
    <dxf>
      <numFmt numFmtId="4" formatCode="#,##0.0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id="1" name="Таблица1" displayName="Таблица1" ref="A1:A13" totalsRowShown="0">
  <autoFilter ref="A1:A13"/>
  <tableColumns count="1">
    <tableColumn id="1" name="код_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Таблица5" displayName="Таблица5" ref="T1:Z13" totalsRowShown="0" headerRowDxfId="68" headerRowBorderDxfId="67" tableBorderDxfId="66">
  <autoFilter ref="T1:Z13"/>
  <tableColumns count="7">
    <tableColumn id="1" name="ОТ1_1" dataDxfId="65"/>
    <tableColumn id="2" name="МЗ_1" dataDxfId="64"/>
    <tableColumn id="3" name="ФР1_1" dataDxfId="63"/>
    <tableColumn id="4" name="ИНЗ_1" dataDxfId="62"/>
    <tableColumn id="5" name="КУ_1" dataDxfId="61"/>
    <tableColumn id="6" name="СНИ_1" dataDxfId="60"/>
    <tableColumn id="7" name="СОЦДИ_1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Таблица6" displayName="Таблица6" ref="AF1:AL13" totalsRowShown="0" headerRowDxfId="58" headerRowBorderDxfId="57" tableBorderDxfId="56">
  <autoFilter ref="AF1:AL13"/>
  <tableColumns count="7">
    <tableColumn id="1" name="ОТ1_2" dataDxfId="55"/>
    <tableColumn id="2" name="МЗ_2" dataDxfId="54"/>
    <tableColumn id="3" name="ФР1_2" dataDxfId="53"/>
    <tableColumn id="4" name="ИНЗ_2" dataDxfId="52"/>
    <tableColumn id="5" name="КУ_2" dataDxfId="51"/>
    <tableColumn id="6" name="СНИ_2" dataDxfId="50"/>
    <tableColumn id="7" name="СОЦДИ_2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Таблица7" displayName="Таблица7" ref="AR1:AX13" totalsRowShown="0" headerRowDxfId="48" headerRowBorderDxfId="47" tableBorderDxfId="46">
  <autoFilter ref="AR1:AX13"/>
  <tableColumns count="7">
    <tableColumn id="1" name="ОТ1_3" dataDxfId="45"/>
    <tableColumn id="2" name="МЗ_3" dataDxfId="44"/>
    <tableColumn id="3" name="ФР1_3" dataDxfId="43"/>
    <tableColumn id="4" name="ИНЗ_3" dataDxfId="42"/>
    <tableColumn id="5" name="КУ_3" dataDxfId="41"/>
    <tableColumn id="6" name="СНИ_3" dataDxfId="40"/>
    <tableColumn id="7" name="СОЦДИ_3" data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Таблица8" displayName="Таблица8" ref="AD1:AE13" totalsRowShown="0" headerRowDxfId="38" headerRowBorderDxfId="37" tableBorderDxfId="36">
  <autoFilter ref="AD1:AE13"/>
  <tableColumns count="2">
    <tableColumn id="1" name="ОТ2_1" dataDxfId="35"/>
    <tableColumn id="2" name="ПНЗ_1" dataDxfId="3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Таблица9" displayName="Таблица9" ref="AP1:AQ13" totalsRowShown="0" headerRowDxfId="33" headerRowBorderDxfId="32" tableBorderDxfId="31">
  <autoFilter ref="AP1:AQ13"/>
  <tableColumns count="2">
    <tableColumn id="1" name="ОТ2_2" dataDxfId="30"/>
    <tableColumn id="2" name="ПНЗ_2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Таблица10" displayName="Таблица10" ref="BB1:BC13" totalsRowShown="0" headerRowDxfId="28" headerRowBorderDxfId="27" tableBorderDxfId="26">
  <autoFilter ref="BB1:BC13"/>
  <tableColumns count="2">
    <tableColumn id="1" name="ОТ2_3" dataDxfId="25"/>
    <tableColumn id="2" name="ПНЗ_3" dataDxfId="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Таблица11" displayName="Таблица11" ref="AB1:AC13" totalsRowShown="0" headerRowDxfId="23" headerRowBorderDxfId="22" tableBorderDxfId="21">
  <autoFilter ref="AB1:AC13"/>
  <tableColumns count="2">
    <tableColumn id="1" name="УС_1" dataDxfId="20"/>
    <tableColumn id="2" name="ТУ_1" dataDxfId="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Таблица12" displayName="Таблица12" ref="AN1:AO13" totalsRowShown="0" headerRowDxfId="18" headerRowBorderDxfId="17" tableBorderDxfId="16">
  <autoFilter ref="AN1:AO13"/>
  <tableColumns count="2">
    <tableColumn id="1" name="УС_2" dataDxfId="15"/>
    <tableColumn id="2" name="ТУ_2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Таблица13" displayName="Таблица13" ref="AZ1:BA13" totalsRowShown="0" headerRowDxfId="13" headerRowBorderDxfId="12" tableBorderDxfId="11">
  <autoFilter ref="AZ1:BA13"/>
  <tableColumns count="2">
    <tableColumn id="1" name="УС_3" dataDxfId="10"/>
    <tableColumn id="2" name="ТУ_3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1" name="Таблица31" displayName="Таблица31" ref="A1:A12" totalsRowShown="0">
  <autoFilter ref="A1:A12"/>
  <tableColumns count="1">
    <tableColumn id="1" name="код_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2" name="Таблица32" displayName="Таблица32" ref="T1:T12" totalsRowShown="0" headerRowDxfId="8" headerRowBorderDxfId="7">
  <autoFilter ref="T1:T12"/>
  <tableColumns count="1">
    <tableColumn id="1" name="ОТ1_1" dataDxfId="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" name="Таблица2" displayName="Таблица2" ref="AF1:AF12" totalsRowShown="0" headerRowDxfId="5" headerRowBorderDxfId="4">
  <autoFilter ref="AF1:AF12"/>
  <tableColumns count="1">
    <tableColumn id="1" name="ОТ1_2" dataDxfId="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" name="Таблица3" displayName="Таблица3" ref="AR1:AR12" tableType="xml" totalsRowShown="0" headerRowDxfId="2" headerRowBorderDxfId="1" connectionId="7">
  <autoFilter ref="AR1:AR12"/>
  <tableColumns count="1">
    <tableColumn id="1" uniqueName="val_3" name="ОТ1_3" dataDxfId="0">
      <xmlColumnPr mapId="7" xpath="/OFO_INF/Dprtm_records/Dprtm_record/Alignmt_coeff_records/Alignmt_coeff_record/Insrns_Pmnt/@val_3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A13"/>
  <sheetViews>
    <sheetView workbookViewId="0">
      <selection activeCell="C2" sqref="C2:D5"/>
    </sheetView>
  </sheetViews>
  <sheetFormatPr defaultRowHeight="15" x14ac:dyDescent="0.25"/>
  <cols>
    <col min="1" max="1" width="31.140625" customWidth="1"/>
    <col min="2" max="2" width="120.7109375" customWidth="1"/>
  </cols>
  <sheetData>
    <row r="1" spans="1:79" x14ac:dyDescent="0.25">
      <c r="A1" t="s">
        <v>333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350</v>
      </c>
      <c r="N1" t="s">
        <v>339</v>
      </c>
      <c r="O1" t="s">
        <v>340</v>
      </c>
      <c r="P1" t="s">
        <v>341</v>
      </c>
      <c r="Q1" t="s">
        <v>342</v>
      </c>
      <c r="R1" t="s">
        <v>343</v>
      </c>
      <c r="S1" t="s">
        <v>344</v>
      </c>
      <c r="U1" t="s">
        <v>345</v>
      </c>
      <c r="V1" t="s">
        <v>346</v>
      </c>
      <c r="W1" t="s">
        <v>347</v>
      </c>
      <c r="X1" t="s">
        <v>348</v>
      </c>
      <c r="Y1" t="s">
        <v>349</v>
      </c>
      <c r="Z1" t="s">
        <v>351</v>
      </c>
      <c r="AA1" t="s">
        <v>352</v>
      </c>
      <c r="AB1" t="s">
        <v>353</v>
      </c>
      <c r="AC1" t="s">
        <v>354</v>
      </c>
      <c r="AD1" t="s">
        <v>355</v>
      </c>
      <c r="AE1" t="s">
        <v>356</v>
      </c>
      <c r="AF1" t="s">
        <v>357</v>
      </c>
      <c r="AG1" t="s">
        <v>358</v>
      </c>
      <c r="AH1" t="s">
        <v>359</v>
      </c>
      <c r="AI1" t="s">
        <v>360</v>
      </c>
      <c r="AJ1" t="s">
        <v>361</v>
      </c>
      <c r="AK1" t="s">
        <v>362</v>
      </c>
      <c r="AL1" t="s">
        <v>363</v>
      </c>
      <c r="AM1" t="s">
        <v>364</v>
      </c>
      <c r="AN1" t="s">
        <v>365</v>
      </c>
      <c r="AO1" t="s">
        <v>366</v>
      </c>
      <c r="AP1" t="s">
        <v>367</v>
      </c>
      <c r="AQ1" t="s">
        <v>368</v>
      </c>
    </row>
    <row r="2" spans="1:79" x14ac:dyDescent="0.25">
      <c r="A2" t="s">
        <v>328</v>
      </c>
      <c r="B2" t="s">
        <v>123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</row>
    <row r="3" spans="1:79" x14ac:dyDescent="0.25">
      <c r="A3" t="s">
        <v>328</v>
      </c>
      <c r="B3" t="s">
        <v>123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</row>
    <row r="4" spans="1:79" x14ac:dyDescent="0.25">
      <c r="A4" t="s">
        <v>328</v>
      </c>
      <c r="B4" t="s">
        <v>123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</row>
    <row r="5" spans="1:79" x14ac:dyDescent="0.25">
      <c r="A5" t="s">
        <v>328</v>
      </c>
      <c r="B5" t="s">
        <v>123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</row>
    <row r="6" spans="1:79" x14ac:dyDescent="0.25">
      <c r="A6" t="s">
        <v>328</v>
      </c>
      <c r="B6" t="s">
        <v>122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</row>
    <row r="7" spans="1:79" x14ac:dyDescent="0.25">
      <c r="A7" t="s">
        <v>328</v>
      </c>
      <c r="B7" t="s">
        <v>121</v>
      </c>
      <c r="E7">
        <v>350625</v>
      </c>
      <c r="F7">
        <v>350625</v>
      </c>
      <c r="G7">
        <v>350625</v>
      </c>
      <c r="H7">
        <v>464648.3</v>
      </c>
      <c r="I7">
        <v>403990.1</v>
      </c>
      <c r="J7">
        <v>3015.4</v>
      </c>
      <c r="K7">
        <v>10553.8</v>
      </c>
      <c r="L7">
        <v>183096.4</v>
      </c>
      <c r="M7">
        <v>96912.8</v>
      </c>
      <c r="N7">
        <v>3190.7</v>
      </c>
      <c r="O7">
        <v>17320.900000000001</v>
      </c>
      <c r="P7">
        <v>4523.1000000000004</v>
      </c>
      <c r="Q7">
        <v>8520.2000000000007</v>
      </c>
      <c r="R7">
        <v>253221.4</v>
      </c>
      <c r="S7">
        <v>376431</v>
      </c>
      <c r="T7">
        <v>464648.3</v>
      </c>
      <c r="U7">
        <v>403990.1</v>
      </c>
      <c r="V7">
        <v>3015.4</v>
      </c>
      <c r="W7">
        <v>10553.8</v>
      </c>
      <c r="X7">
        <v>183096.4</v>
      </c>
      <c r="Y7">
        <v>96912.8</v>
      </c>
      <c r="Z7">
        <v>3190.7</v>
      </c>
      <c r="AA7">
        <v>17320.900000000001</v>
      </c>
      <c r="AB7">
        <v>4523.1000000000004</v>
      </c>
      <c r="AC7">
        <v>8520.2000000000007</v>
      </c>
      <c r="AD7">
        <v>253221.4</v>
      </c>
      <c r="AE7">
        <v>376431</v>
      </c>
      <c r="AF7">
        <v>464648.3</v>
      </c>
      <c r="AG7">
        <v>403990.1</v>
      </c>
      <c r="AH7">
        <v>3015.4</v>
      </c>
      <c r="AI7">
        <v>10553.8</v>
      </c>
      <c r="AJ7">
        <v>183096.4</v>
      </c>
      <c r="AK7">
        <v>96912.8</v>
      </c>
      <c r="AL7">
        <v>3190.7</v>
      </c>
      <c r="AM7">
        <v>17320.900000000001</v>
      </c>
      <c r="AN7">
        <v>4523.1000000000004</v>
      </c>
      <c r="AO7">
        <v>8520.2000000000007</v>
      </c>
      <c r="AP7">
        <v>253221.4</v>
      </c>
      <c r="AQ7">
        <v>376431</v>
      </c>
      <c r="AR7">
        <v>1325.2</v>
      </c>
      <c r="AS7">
        <v>1152.2</v>
      </c>
      <c r="AT7">
        <v>8.6</v>
      </c>
      <c r="AU7">
        <v>30.1</v>
      </c>
      <c r="AV7">
        <v>522.20000000000005</v>
      </c>
      <c r="AW7">
        <v>276.39999999999998</v>
      </c>
      <c r="AX7">
        <v>9.1</v>
      </c>
      <c r="AY7">
        <v>49.4</v>
      </c>
      <c r="AZ7">
        <v>12.9</v>
      </c>
      <c r="BA7">
        <v>24.3</v>
      </c>
      <c r="BB7">
        <v>722.2</v>
      </c>
      <c r="BC7">
        <v>1073.5999999999999</v>
      </c>
      <c r="BD7">
        <v>1325.2</v>
      </c>
      <c r="BE7">
        <v>1152.2</v>
      </c>
      <c r="BF7">
        <v>8.6</v>
      </c>
      <c r="BG7">
        <v>30.1</v>
      </c>
      <c r="BH7">
        <v>522.20000000000005</v>
      </c>
      <c r="BI7">
        <v>276.39999999999998</v>
      </c>
      <c r="BJ7">
        <v>9.1</v>
      </c>
      <c r="BK7">
        <v>49.4</v>
      </c>
      <c r="BL7">
        <v>12.9</v>
      </c>
      <c r="BM7">
        <v>24.3</v>
      </c>
      <c r="BN7">
        <v>722.2</v>
      </c>
      <c r="BO7">
        <v>1073.5999999999999</v>
      </c>
      <c r="BP7">
        <v>1325.2</v>
      </c>
      <c r="BQ7">
        <v>1152.2</v>
      </c>
      <c r="BR7">
        <v>8.6</v>
      </c>
      <c r="BS7">
        <v>30.1</v>
      </c>
      <c r="BT7">
        <v>522.20000000000005</v>
      </c>
      <c r="BU7">
        <v>276.39999999999998</v>
      </c>
      <c r="BV7">
        <v>9.1</v>
      </c>
      <c r="BW7">
        <v>49.4</v>
      </c>
      <c r="BX7">
        <v>12.9</v>
      </c>
      <c r="BY7">
        <v>24.3</v>
      </c>
      <c r="BZ7">
        <v>722.2</v>
      </c>
      <c r="CA7">
        <v>1073.5999999999999</v>
      </c>
    </row>
    <row r="8" spans="1:79" x14ac:dyDescent="0.25">
      <c r="A8" t="s">
        <v>328</v>
      </c>
      <c r="B8" t="s">
        <v>121</v>
      </c>
      <c r="E8">
        <v>21850</v>
      </c>
      <c r="F8">
        <v>21850</v>
      </c>
      <c r="G8">
        <v>21850</v>
      </c>
      <c r="H8">
        <v>0</v>
      </c>
      <c r="I8">
        <v>0</v>
      </c>
      <c r="J8">
        <v>0</v>
      </c>
      <c r="K8">
        <v>437000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437000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437000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20000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20000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20000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 t="s">
        <v>328</v>
      </c>
      <c r="B9" t="s">
        <v>121</v>
      </c>
      <c r="E9">
        <v>7175</v>
      </c>
      <c r="H9">
        <v>0</v>
      </c>
      <c r="I9">
        <v>785519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785519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785519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109480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109480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109480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 t="s">
        <v>328</v>
      </c>
      <c r="B10" t="s">
        <v>121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79" x14ac:dyDescent="0.25">
      <c r="A11" t="s">
        <v>328</v>
      </c>
      <c r="B11" t="s">
        <v>121</v>
      </c>
      <c r="E11">
        <v>4</v>
      </c>
      <c r="F11">
        <v>4</v>
      </c>
      <c r="G11">
        <v>4</v>
      </c>
      <c r="H11">
        <v>0</v>
      </c>
      <c r="I11">
        <v>36021.4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36021.4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36021.4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</row>
    <row r="12" spans="1:79" x14ac:dyDescent="0.25">
      <c r="A12" t="s">
        <v>328</v>
      </c>
      <c r="B12" t="s">
        <v>121</v>
      </c>
      <c r="E12">
        <v>3600</v>
      </c>
      <c r="F12">
        <v>3600</v>
      </c>
      <c r="G12">
        <v>3600</v>
      </c>
      <c r="H12">
        <v>4189392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4189392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4189392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1163720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1163720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1163720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 t="s">
        <v>332</v>
      </c>
      <c r="B13" t="s">
        <v>120</v>
      </c>
      <c r="E13">
        <v>265</v>
      </c>
      <c r="F13">
        <v>265</v>
      </c>
      <c r="G13">
        <v>265</v>
      </c>
      <c r="H13">
        <v>189704.9</v>
      </c>
      <c r="I13">
        <v>209960.8</v>
      </c>
      <c r="J13">
        <v>151488.9</v>
      </c>
      <c r="K13">
        <v>139272</v>
      </c>
      <c r="L13">
        <v>7733.7</v>
      </c>
      <c r="M13">
        <v>247.5</v>
      </c>
      <c r="N13">
        <v>43433.8</v>
      </c>
      <c r="O13">
        <v>1823.8</v>
      </c>
      <c r="P13">
        <v>10907</v>
      </c>
      <c r="Q13">
        <v>0</v>
      </c>
      <c r="R13">
        <v>116009.1</v>
      </c>
      <c r="S13">
        <v>5850.1</v>
      </c>
      <c r="T13">
        <v>189704.9</v>
      </c>
      <c r="U13">
        <v>209960.8</v>
      </c>
      <c r="V13">
        <v>151488.9</v>
      </c>
      <c r="W13">
        <v>139272</v>
      </c>
      <c r="X13">
        <v>7733.7</v>
      </c>
      <c r="Y13">
        <v>247.5</v>
      </c>
      <c r="Z13">
        <v>43433.8</v>
      </c>
      <c r="AA13">
        <v>1823.8</v>
      </c>
      <c r="AB13">
        <v>10907</v>
      </c>
      <c r="AC13">
        <v>0</v>
      </c>
      <c r="AD13">
        <v>116009.1</v>
      </c>
      <c r="AE13">
        <v>5850.1</v>
      </c>
      <c r="AF13">
        <v>189704.9</v>
      </c>
      <c r="AG13">
        <v>209960.8</v>
      </c>
      <c r="AH13">
        <v>151488.9</v>
      </c>
      <c r="AI13">
        <v>139272</v>
      </c>
      <c r="AJ13">
        <v>7733.7</v>
      </c>
      <c r="AK13">
        <v>247.5</v>
      </c>
      <c r="AL13">
        <v>43433.8</v>
      </c>
      <c r="AM13">
        <v>1823.8</v>
      </c>
      <c r="AN13">
        <v>10907</v>
      </c>
      <c r="AO13">
        <v>0</v>
      </c>
      <c r="AP13">
        <v>116009.1</v>
      </c>
      <c r="AQ13">
        <v>5850.1</v>
      </c>
      <c r="AR13">
        <v>715867.41</v>
      </c>
      <c r="AS13">
        <v>792304.97</v>
      </c>
      <c r="AT13">
        <v>571656.15</v>
      </c>
      <c r="AU13">
        <v>525554.66999999993</v>
      </c>
      <c r="AV13">
        <v>29183.75</v>
      </c>
      <c r="AW13">
        <v>933.97</v>
      </c>
      <c r="AX13">
        <v>163901.26999999999</v>
      </c>
      <c r="AY13">
        <v>6882.45</v>
      </c>
      <c r="AZ13">
        <v>41158.39</v>
      </c>
      <c r="BA13">
        <v>0</v>
      </c>
      <c r="BB13">
        <v>437770.2</v>
      </c>
      <c r="BC13">
        <v>22075.74</v>
      </c>
      <c r="BD13">
        <v>715867.41</v>
      </c>
      <c r="BE13">
        <v>792304.97</v>
      </c>
      <c r="BF13">
        <v>571656.15</v>
      </c>
      <c r="BG13">
        <v>525554.66999999993</v>
      </c>
      <c r="BH13">
        <v>29183.75</v>
      </c>
      <c r="BI13">
        <v>933.97</v>
      </c>
      <c r="BJ13">
        <v>163901.26999999999</v>
      </c>
      <c r="BK13">
        <v>6882.45</v>
      </c>
      <c r="BL13">
        <v>41158.39</v>
      </c>
      <c r="BM13">
        <v>0</v>
      </c>
      <c r="BN13">
        <v>437770.2</v>
      </c>
      <c r="BO13">
        <v>22075.74</v>
      </c>
      <c r="BP13">
        <v>715867.41</v>
      </c>
      <c r="BQ13">
        <v>792304.97</v>
      </c>
      <c r="BR13">
        <v>571656.15</v>
      </c>
      <c r="BS13">
        <v>525554.66999999993</v>
      </c>
      <c r="BT13">
        <v>29183.75</v>
      </c>
      <c r="BU13">
        <v>933.97</v>
      </c>
      <c r="BV13">
        <v>163901.26999999999</v>
      </c>
      <c r="BW13">
        <v>6882.45</v>
      </c>
      <c r="BX13">
        <v>41158.39</v>
      </c>
      <c r="BY13">
        <v>0</v>
      </c>
      <c r="BZ13">
        <v>437770.2</v>
      </c>
      <c r="CA13">
        <v>22075.74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A18"/>
  <sheetViews>
    <sheetView topLeftCell="E1" zoomScale="60" zoomScaleNormal="60" workbookViewId="0">
      <selection activeCell="B36" sqref="B36"/>
    </sheetView>
  </sheetViews>
  <sheetFormatPr defaultRowHeight="15" x14ac:dyDescent="0.25"/>
  <cols>
    <col min="1" max="1" width="32" bestFit="1" customWidth="1"/>
    <col min="2" max="2" width="126.85546875" bestFit="1" customWidth="1"/>
    <col min="3" max="3" width="7" bestFit="1" customWidth="1"/>
    <col min="4" max="4" width="205.140625" bestFit="1" customWidth="1"/>
    <col min="5" max="7" width="9.85546875" bestFit="1" customWidth="1"/>
    <col min="8" max="8" width="13.7109375" bestFit="1" customWidth="1"/>
    <col min="9" max="9" width="12" bestFit="1" customWidth="1"/>
    <col min="10" max="10" width="12.5703125" bestFit="1" customWidth="1"/>
    <col min="11" max="11" width="14.85546875" bestFit="1" customWidth="1"/>
    <col min="12" max="12" width="11.140625" bestFit="1" customWidth="1"/>
    <col min="13" max="13" width="13" bestFit="1" customWidth="1"/>
    <col min="14" max="14" width="16.28515625" bestFit="1" customWidth="1"/>
    <col min="15" max="15" width="12.5703125" bestFit="1" customWidth="1"/>
    <col min="16" max="16" width="11.140625" bestFit="1" customWidth="1"/>
    <col min="17" max="17" width="10.85546875" bestFit="1" customWidth="1"/>
    <col min="18" max="18" width="12.28515625" bestFit="1" customWidth="1"/>
    <col min="19" max="19" width="12.7109375" bestFit="1" customWidth="1"/>
    <col min="20" max="20" width="15.85546875" bestFit="1" customWidth="1"/>
    <col min="21" max="21" width="14.7109375" bestFit="1" customWidth="1"/>
    <col min="22" max="22" width="15.85546875" bestFit="1" customWidth="1"/>
    <col min="23" max="23" width="16.140625" bestFit="1" customWidth="1"/>
    <col min="24" max="24" width="14.85546875" bestFit="1" customWidth="1"/>
    <col min="25" max="25" width="16.5703125" bestFit="1" customWidth="1"/>
    <col min="26" max="26" width="19.7109375" bestFit="1" customWidth="1"/>
    <col min="27" max="27" width="9.7109375" bestFit="1" customWidth="1"/>
    <col min="28" max="28" width="14.85546875" bestFit="1" customWidth="1"/>
    <col min="29" max="29" width="14.7109375" bestFit="1" customWidth="1"/>
    <col min="30" max="30" width="15.85546875" bestFit="1" customWidth="1"/>
    <col min="31" max="31" width="16.140625" bestFit="1" customWidth="1"/>
    <col min="32" max="32" width="15.85546875" bestFit="1" customWidth="1"/>
    <col min="33" max="33" width="14.7109375" bestFit="1" customWidth="1"/>
    <col min="34" max="34" width="15.85546875" bestFit="1" customWidth="1"/>
    <col min="35" max="35" width="16.140625" bestFit="1" customWidth="1"/>
    <col min="36" max="36" width="14.85546875" bestFit="1" customWidth="1"/>
    <col min="37" max="37" width="16.5703125" bestFit="1" customWidth="1"/>
    <col min="38" max="38" width="19.7109375" bestFit="1" customWidth="1"/>
    <col min="39" max="39" width="9.7109375" bestFit="1" customWidth="1"/>
    <col min="40" max="40" width="14.85546875" bestFit="1" customWidth="1"/>
    <col min="41" max="41" width="14.7109375" bestFit="1" customWidth="1"/>
    <col min="42" max="42" width="15.85546875" bestFit="1" customWidth="1"/>
    <col min="43" max="43" width="16.140625" bestFit="1" customWidth="1"/>
    <col min="44" max="44" width="15.85546875" bestFit="1" customWidth="1"/>
    <col min="45" max="45" width="14.7109375" bestFit="1" customWidth="1"/>
    <col min="46" max="46" width="15.85546875" bestFit="1" customWidth="1"/>
    <col min="47" max="47" width="16.140625" bestFit="1" customWidth="1"/>
    <col min="48" max="48" width="14.85546875" bestFit="1" customWidth="1"/>
    <col min="49" max="49" width="16.5703125" bestFit="1" customWidth="1"/>
    <col min="50" max="50" width="19.7109375" bestFit="1" customWidth="1"/>
    <col min="51" max="51" width="8.28515625" bestFit="1" customWidth="1"/>
    <col min="52" max="52" width="14.85546875" bestFit="1" customWidth="1"/>
    <col min="53" max="53" width="14.7109375" bestFit="1" customWidth="1"/>
    <col min="54" max="54" width="15.85546875" bestFit="1" customWidth="1"/>
    <col min="55" max="55" width="16.140625" bestFit="1" customWidth="1"/>
    <col min="56" max="56" width="14.7109375" bestFit="1" customWidth="1"/>
    <col min="57" max="57" width="13.7109375" bestFit="1" customWidth="1"/>
    <col min="58" max="58" width="14.85546875" bestFit="1" customWidth="1"/>
    <col min="59" max="59" width="15.140625" bestFit="1" customWidth="1"/>
    <col min="60" max="60" width="13.42578125" bestFit="1" customWidth="1"/>
    <col min="61" max="61" width="15.42578125" bestFit="1" customWidth="1"/>
    <col min="62" max="62" width="18.7109375" bestFit="1" customWidth="1"/>
    <col min="63" max="63" width="14.85546875" bestFit="1" customWidth="1"/>
    <col min="64" max="64" width="13.42578125" bestFit="1" customWidth="1"/>
    <col min="65" max="65" width="13.28515625" bestFit="1" customWidth="1"/>
    <col min="66" max="66" width="14.7109375" bestFit="1" customWidth="1"/>
    <col min="67" max="67" width="15.140625" bestFit="1" customWidth="1"/>
    <col min="68" max="68" width="14.7109375" bestFit="1" customWidth="1"/>
    <col min="69" max="69" width="13.7109375" bestFit="1" customWidth="1"/>
    <col min="70" max="70" width="14.85546875" bestFit="1" customWidth="1"/>
    <col min="71" max="71" width="15.140625" bestFit="1" customWidth="1"/>
    <col min="72" max="72" width="13.42578125" bestFit="1" customWidth="1"/>
    <col min="73" max="73" width="15.42578125" bestFit="1" customWidth="1"/>
    <col min="74" max="74" width="18.7109375" bestFit="1" customWidth="1"/>
    <col min="75" max="75" width="14.85546875" bestFit="1" customWidth="1"/>
    <col min="76" max="76" width="13.42578125" bestFit="1" customWidth="1"/>
    <col min="77" max="77" width="13.28515625" bestFit="1" customWidth="1"/>
    <col min="78" max="78" width="14.7109375" bestFit="1" customWidth="1"/>
    <col min="79" max="79" width="15.140625" bestFit="1" customWidth="1"/>
  </cols>
  <sheetData>
    <row r="1" spans="1:79" x14ac:dyDescent="0.25">
      <c r="A1" t="s">
        <v>251</v>
      </c>
      <c r="B1" s="276" t="str">
        <f>'1. ЦСП'!A4</f>
        <v>Наименование работы</v>
      </c>
      <c r="C1" t="s">
        <v>252</v>
      </c>
      <c r="D1" s="276" t="str">
        <f>'1. ЦСП'!C4</f>
        <v>Направление расходов</v>
      </c>
      <c r="E1" t="s">
        <v>253</v>
      </c>
      <c r="F1" t="s">
        <v>254</v>
      </c>
      <c r="G1" t="s">
        <v>255</v>
      </c>
      <c r="H1" s="8" t="s">
        <v>256</v>
      </c>
      <c r="I1" s="8" t="s">
        <v>257</v>
      </c>
      <c r="J1" s="8" t="s">
        <v>258</v>
      </c>
      <c r="K1" s="8" t="s">
        <v>259</v>
      </c>
      <c r="L1" s="8" t="s">
        <v>260</v>
      </c>
      <c r="M1" s="8" t="s">
        <v>261</v>
      </c>
      <c r="N1" s="8" t="s">
        <v>262</v>
      </c>
      <c r="O1" s="8" t="s">
        <v>263</v>
      </c>
      <c r="P1" s="8" t="s">
        <v>264</v>
      </c>
      <c r="Q1" s="8" t="s">
        <v>265</v>
      </c>
      <c r="R1" s="8" t="s">
        <v>266</v>
      </c>
      <c r="S1" s="8" t="s">
        <v>267</v>
      </c>
      <c r="T1" s="282" t="s">
        <v>268</v>
      </c>
      <c r="U1" s="283" t="s">
        <v>271</v>
      </c>
      <c r="V1" s="283" t="s">
        <v>272</v>
      </c>
      <c r="W1" s="283" t="s">
        <v>273</v>
      </c>
      <c r="X1" s="283" t="s">
        <v>274</v>
      </c>
      <c r="Y1" s="283" t="s">
        <v>275</v>
      </c>
      <c r="Z1" s="283" t="s">
        <v>276</v>
      </c>
      <c r="AA1" s="8" t="s">
        <v>277</v>
      </c>
      <c r="AB1" s="282" t="s">
        <v>278</v>
      </c>
      <c r="AC1" s="283" t="s">
        <v>279</v>
      </c>
      <c r="AD1" s="282" t="s">
        <v>280</v>
      </c>
      <c r="AE1" s="283" t="s">
        <v>281</v>
      </c>
      <c r="AF1" s="282" t="s">
        <v>269</v>
      </c>
      <c r="AG1" s="283" t="s">
        <v>282</v>
      </c>
      <c r="AH1" s="283" t="s">
        <v>283</v>
      </c>
      <c r="AI1" s="283" t="s">
        <v>284</v>
      </c>
      <c r="AJ1" s="283" t="s">
        <v>285</v>
      </c>
      <c r="AK1" s="283" t="s">
        <v>286</v>
      </c>
      <c r="AL1" s="283" t="s">
        <v>287</v>
      </c>
      <c r="AM1" s="8" t="s">
        <v>288</v>
      </c>
      <c r="AN1" s="282" t="s">
        <v>289</v>
      </c>
      <c r="AO1" s="283" t="s">
        <v>290</v>
      </c>
      <c r="AP1" s="282" t="s">
        <v>291</v>
      </c>
      <c r="AQ1" s="283" t="s">
        <v>292</v>
      </c>
      <c r="AR1" s="282" t="s">
        <v>270</v>
      </c>
      <c r="AS1" s="283" t="s">
        <v>293</v>
      </c>
      <c r="AT1" s="283" t="s">
        <v>294</v>
      </c>
      <c r="AU1" s="283" t="s">
        <v>295</v>
      </c>
      <c r="AV1" s="283" t="s">
        <v>296</v>
      </c>
      <c r="AW1" s="283" t="s">
        <v>297</v>
      </c>
      <c r="AX1" s="283" t="s">
        <v>298</v>
      </c>
      <c r="AY1" s="8" t="s">
        <v>299</v>
      </c>
      <c r="AZ1" s="282" t="s">
        <v>300</v>
      </c>
      <c r="BA1" s="283" t="s">
        <v>301</v>
      </c>
      <c r="BB1" s="282" t="s">
        <v>302</v>
      </c>
      <c r="BC1" s="283" t="s">
        <v>303</v>
      </c>
      <c r="BD1" s="8" t="s">
        <v>304</v>
      </c>
      <c r="BE1" s="8" t="s">
        <v>315</v>
      </c>
      <c r="BF1" s="8" t="s">
        <v>316</v>
      </c>
      <c r="BG1" s="8" t="s">
        <v>305</v>
      </c>
      <c r="BH1" s="8" t="s">
        <v>306</v>
      </c>
      <c r="BI1" s="8" t="s">
        <v>307</v>
      </c>
      <c r="BJ1" s="8" t="s">
        <v>308</v>
      </c>
      <c r="BK1" s="8" t="s">
        <v>309</v>
      </c>
      <c r="BL1" s="8" t="s">
        <v>310</v>
      </c>
      <c r="BM1" s="8" t="s">
        <v>311</v>
      </c>
      <c r="BN1" s="8" t="s">
        <v>312</v>
      </c>
      <c r="BO1" s="8" t="s">
        <v>313</v>
      </c>
      <c r="BP1" s="8" t="s">
        <v>314</v>
      </c>
      <c r="BQ1" s="8" t="s">
        <v>317</v>
      </c>
      <c r="BR1" s="8" t="s">
        <v>318</v>
      </c>
      <c r="BS1" s="8" t="s">
        <v>319</v>
      </c>
      <c r="BT1" s="8" t="s">
        <v>320</v>
      </c>
      <c r="BU1" s="8" t="s">
        <v>321</v>
      </c>
      <c r="BV1" s="8" t="s">
        <v>322</v>
      </c>
      <c r="BW1" s="8" t="s">
        <v>323</v>
      </c>
      <c r="BX1" s="8" t="s">
        <v>324</v>
      </c>
      <c r="BY1" s="8" t="s">
        <v>325</v>
      </c>
      <c r="BZ1" s="8" t="s">
        <v>326</v>
      </c>
      <c r="CA1" s="8" t="s">
        <v>327</v>
      </c>
    </row>
    <row r="2" spans="1:79" x14ac:dyDescent="0.25">
      <c r="A2" t="s">
        <v>328</v>
      </c>
      <c r="B2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C2" s="277"/>
      <c r="D2" t="str">
        <f>'1. ЦСП'!$B$7</f>
        <v>На территории Российской Федерации</v>
      </c>
      <c r="E2" s="279">
        <f>'1. ЦСП'!D8</f>
        <v>29</v>
      </c>
      <c r="F2" s="279">
        <f>'1. ЦСП'!E8</f>
        <v>29</v>
      </c>
      <c r="G2" s="279">
        <f>'1. ЦСП'!F8</f>
        <v>29</v>
      </c>
      <c r="H2" s="279">
        <f>'1. ЦСП'!G7</f>
        <v>10773.104893401014</v>
      </c>
      <c r="I2" s="279">
        <f>'1. ЦСП'!H7</f>
        <v>0</v>
      </c>
      <c r="J2" s="279">
        <f>'1. ЦСП'!I7</f>
        <v>0</v>
      </c>
      <c r="K2" s="279">
        <f>'1. ЦСП'!J7</f>
        <v>1524186.8</v>
      </c>
      <c r="L2" s="279">
        <f>'1. ЦСП'!K7</f>
        <v>0</v>
      </c>
      <c r="M2" s="279">
        <f>'1. ЦСП'!L7</f>
        <v>0</v>
      </c>
      <c r="N2" s="279">
        <f>'1. ЦСП'!M7</f>
        <v>0</v>
      </c>
      <c r="O2" s="279">
        <f>'1. ЦСП'!N7</f>
        <v>0</v>
      </c>
      <c r="P2" s="279">
        <f>'1. ЦСП'!O7</f>
        <v>0</v>
      </c>
      <c r="Q2" s="279">
        <f>'1. ЦСП'!P7</f>
        <v>0</v>
      </c>
      <c r="R2" s="279">
        <f>'1. ЦСП'!Q7</f>
        <v>7182.0699289340109</v>
      </c>
      <c r="S2" s="279">
        <f>'1. ЦСП'!R7</f>
        <v>0</v>
      </c>
      <c r="T2" s="279">
        <f>'1. ЦСП'!G8</f>
        <v>312.39999999999998</v>
      </c>
      <c r="U2" s="279">
        <f>'1. ЦСП'!H8</f>
        <v>0</v>
      </c>
      <c r="V2" s="279">
        <f>'1. ЦСП'!I8</f>
        <v>0</v>
      </c>
      <c r="W2" s="279">
        <f>'1. ЦСП'!J8</f>
        <v>44201.4</v>
      </c>
      <c r="X2" s="279">
        <f>'1. ЦСП'!K8</f>
        <v>0</v>
      </c>
      <c r="Y2" s="279">
        <f>'1. ЦСП'!L8</f>
        <v>0</v>
      </c>
      <c r="Z2" s="279">
        <f>'1. ЦСП'!M8</f>
        <v>0</v>
      </c>
      <c r="AA2" s="279">
        <f>'1. ЦСП'!N8</f>
        <v>0</v>
      </c>
      <c r="AB2" s="279">
        <f>'1. ЦСП'!O8</f>
        <v>0</v>
      </c>
      <c r="AC2" s="279">
        <f>'1. ЦСП'!P8</f>
        <v>0</v>
      </c>
      <c r="AD2" s="279">
        <f>'1. ЦСП'!Q8</f>
        <v>208.3</v>
      </c>
      <c r="AE2" s="279">
        <f>'1. ЦСП'!R8</f>
        <v>0</v>
      </c>
      <c r="AF2" s="279">
        <f>'1. ЦСП'!G8</f>
        <v>312.39999999999998</v>
      </c>
      <c r="AG2" s="279">
        <f>'1. ЦСП'!H8</f>
        <v>0</v>
      </c>
      <c r="AH2" s="279">
        <f>'1. ЦСП'!I8</f>
        <v>0</v>
      </c>
      <c r="AI2" s="279">
        <f>'1. ЦСП'!J8</f>
        <v>44201.4</v>
      </c>
      <c r="AJ2" s="279">
        <f>'1. ЦСП'!K8</f>
        <v>0</v>
      </c>
      <c r="AK2" s="279">
        <f>'1. ЦСП'!L8</f>
        <v>0</v>
      </c>
      <c r="AL2" s="279">
        <f>'1. ЦСП'!M8</f>
        <v>0</v>
      </c>
      <c r="AM2" s="279">
        <f>'1. ЦСП'!N8</f>
        <v>0</v>
      </c>
      <c r="AN2" s="279">
        <f>'1. ЦСП'!O8</f>
        <v>0</v>
      </c>
      <c r="AO2" s="279">
        <f>'1. ЦСП'!P8</f>
        <v>0</v>
      </c>
      <c r="AP2" s="279">
        <f>'1. ЦСП'!Q8</f>
        <v>208.3</v>
      </c>
      <c r="AQ2" s="279">
        <f>'1. ЦСП'!R8</f>
        <v>0</v>
      </c>
      <c r="AR2" s="279">
        <f>'1. ЦСП'!G8</f>
        <v>312.39999999999998</v>
      </c>
      <c r="AS2" s="279">
        <f>'1. ЦСП'!H8</f>
        <v>0</v>
      </c>
      <c r="AT2" s="279">
        <f>'1. ЦСП'!I8</f>
        <v>0</v>
      </c>
      <c r="AU2" s="279">
        <f>'1. ЦСП'!J8</f>
        <v>44201.4</v>
      </c>
      <c r="AV2" s="279">
        <f>'1. ЦСП'!K8</f>
        <v>0</v>
      </c>
      <c r="AW2" s="279">
        <f>'1. ЦСП'!L8</f>
        <v>0</v>
      </c>
      <c r="AX2" s="279">
        <f>'1. ЦСП'!M8</f>
        <v>0</v>
      </c>
      <c r="AY2" s="279">
        <f>'1. ЦСП'!N8</f>
        <v>0</v>
      </c>
      <c r="AZ2" s="279">
        <f>'1. ЦСП'!O8</f>
        <v>0</v>
      </c>
      <c r="BA2" s="279">
        <f>'1. ЦСП'!P8</f>
        <v>0</v>
      </c>
      <c r="BB2" s="279">
        <f>'1. ЦСП'!Q8</f>
        <v>208.3</v>
      </c>
      <c r="BC2" s="279">
        <f>'1. ЦСП'!R8</f>
        <v>0</v>
      </c>
      <c r="BD2" s="279">
        <f>'1. ЦСП'!G7</f>
        <v>10773.104893401014</v>
      </c>
      <c r="BE2" s="279">
        <f>'1. ЦСП'!H7</f>
        <v>0</v>
      </c>
      <c r="BF2" s="279">
        <f>'1. ЦСП'!I7</f>
        <v>0</v>
      </c>
      <c r="BG2" s="279">
        <f>'1. ЦСП'!J7</f>
        <v>1524186.8</v>
      </c>
      <c r="BH2" s="279">
        <f>'1. ЦСП'!K7</f>
        <v>0</v>
      </c>
      <c r="BI2" s="279">
        <f>'1. ЦСП'!L7</f>
        <v>0</v>
      </c>
      <c r="BJ2" s="279">
        <f>'1. ЦСП'!M7</f>
        <v>0</v>
      </c>
      <c r="BK2" s="279">
        <f>'1. ЦСП'!N7</f>
        <v>0</v>
      </c>
      <c r="BL2" s="279">
        <f>'1. ЦСП'!O7</f>
        <v>0</v>
      </c>
      <c r="BM2" s="279">
        <f>'1. ЦСП'!P7</f>
        <v>0</v>
      </c>
      <c r="BN2" s="279">
        <f>'1. ЦСП'!Q7</f>
        <v>7182.0699289340109</v>
      </c>
      <c r="BO2" s="279">
        <f>'1. ЦСП'!R7</f>
        <v>0</v>
      </c>
      <c r="BP2" s="279">
        <f>'1. ЦСП'!G7</f>
        <v>10773.104893401014</v>
      </c>
      <c r="BQ2" s="279">
        <f>'1. ЦСП'!H7</f>
        <v>0</v>
      </c>
      <c r="BR2" s="279">
        <f>'1. ЦСП'!I7</f>
        <v>0</v>
      </c>
      <c r="BS2" s="279">
        <f>'1. ЦСП'!J7</f>
        <v>1524186.8</v>
      </c>
      <c r="BT2" s="279">
        <f>'1. ЦСП'!K7</f>
        <v>0</v>
      </c>
      <c r="BU2" s="279">
        <f>'1. ЦСП'!L7</f>
        <v>0</v>
      </c>
      <c r="BV2" s="279">
        <f>'1. ЦСП'!M7</f>
        <v>0</v>
      </c>
      <c r="BW2" s="279">
        <f>'1. ЦСП'!N7</f>
        <v>0</v>
      </c>
      <c r="BX2" s="279">
        <f>'1. ЦСП'!O7</f>
        <v>0</v>
      </c>
      <c r="BY2" s="279">
        <f>'1. ЦСП'!P7</f>
        <v>0</v>
      </c>
      <c r="BZ2" s="279">
        <f>'1. ЦСП'!Q7</f>
        <v>7182.0699289340109</v>
      </c>
      <c r="CA2" s="279">
        <f>'1. ЦСП'!R7</f>
        <v>0</v>
      </c>
    </row>
    <row r="3" spans="1:79" x14ac:dyDescent="0.25">
      <c r="A3" t="s">
        <v>328</v>
      </c>
      <c r="B3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3" t="str">
        <f>'1. ЦСП'!$B$7</f>
        <v>На территории Российской Федерации</v>
      </c>
      <c r="E3">
        <f>'1. ЦСП'!D10</f>
        <v>0</v>
      </c>
      <c r="F3">
        <f>'1. ЦСП'!E10</f>
        <v>0</v>
      </c>
      <c r="G3">
        <f>'1. ЦСП'!F10</f>
        <v>0</v>
      </c>
      <c r="H3" s="279">
        <f>'1. ЦСП'!G9</f>
        <v>21546.209786802028</v>
      </c>
      <c r="I3" s="279">
        <f>'1. ЦСП'!H9</f>
        <v>0</v>
      </c>
      <c r="J3" s="279">
        <f>'1. ЦСП'!I9</f>
        <v>0</v>
      </c>
      <c r="K3" s="279">
        <f>'1. ЦСП'!J9</f>
        <v>15241868</v>
      </c>
      <c r="L3" s="279">
        <f>'1. ЦСП'!K9</f>
        <v>0</v>
      </c>
      <c r="M3" s="279">
        <f>'1. ЦСП'!L9</f>
        <v>0</v>
      </c>
      <c r="N3" s="279">
        <f>'1. ЦСП'!M9</f>
        <v>0</v>
      </c>
      <c r="O3" s="279">
        <f>'1. ЦСП'!N9</f>
        <v>0</v>
      </c>
      <c r="P3" s="279">
        <f>'1. ЦСП'!O9</f>
        <v>0</v>
      </c>
      <c r="Q3" s="279">
        <f>'1. ЦСП'!P9</f>
        <v>0</v>
      </c>
      <c r="R3" s="279">
        <f>'1. ЦСП'!Q9</f>
        <v>14364.13985786802</v>
      </c>
      <c r="S3" s="279">
        <f>'1. ЦСП'!R9</f>
        <v>0</v>
      </c>
      <c r="T3" s="279">
        <f>'1. ЦСП'!G10</f>
        <v>0</v>
      </c>
      <c r="U3" s="279">
        <f>'1. ЦСП'!H10</f>
        <v>0</v>
      </c>
      <c r="V3" s="279">
        <f>'1. ЦСП'!I10</f>
        <v>0</v>
      </c>
      <c r="W3" s="279">
        <f>'1. ЦСП'!J10</f>
        <v>0</v>
      </c>
      <c r="X3" s="279">
        <f>'1. ЦСП'!K10</f>
        <v>0</v>
      </c>
      <c r="Y3" s="279">
        <f>'1. ЦСП'!L10</f>
        <v>0</v>
      </c>
      <c r="Z3" s="279">
        <f>'1. ЦСП'!M10</f>
        <v>0</v>
      </c>
      <c r="AA3" s="279">
        <f>'1. ЦСП'!N10</f>
        <v>0</v>
      </c>
      <c r="AB3" s="279">
        <f>'1. ЦСП'!O10</f>
        <v>0</v>
      </c>
      <c r="AC3" s="279">
        <f>'1. ЦСП'!P10</f>
        <v>0</v>
      </c>
      <c r="AD3" s="279">
        <f>'1. ЦСП'!Q10</f>
        <v>0</v>
      </c>
      <c r="AE3" s="279">
        <f>'1. ЦСП'!R10</f>
        <v>0</v>
      </c>
      <c r="AF3" s="279">
        <f>'1. ЦСП'!G10</f>
        <v>0</v>
      </c>
      <c r="AG3" s="279">
        <f>'1. ЦСП'!H10</f>
        <v>0</v>
      </c>
      <c r="AH3" s="279">
        <f>'1. ЦСП'!I10</f>
        <v>0</v>
      </c>
      <c r="AI3" s="279">
        <f>'1. ЦСП'!J10</f>
        <v>0</v>
      </c>
      <c r="AJ3" s="279">
        <f>'1. ЦСП'!K10</f>
        <v>0</v>
      </c>
      <c r="AK3" s="279">
        <f>'1. ЦСП'!L10</f>
        <v>0</v>
      </c>
      <c r="AL3" s="279">
        <f>'1. ЦСП'!M10</f>
        <v>0</v>
      </c>
      <c r="AM3" s="279">
        <f>'1. ЦСП'!N10</f>
        <v>0</v>
      </c>
      <c r="AN3" s="279">
        <f>'1. ЦСП'!O10</f>
        <v>0</v>
      </c>
      <c r="AO3" s="279">
        <f>'1. ЦСП'!P10</f>
        <v>0</v>
      </c>
      <c r="AP3" s="279">
        <f>'1. ЦСП'!Q10</f>
        <v>0</v>
      </c>
      <c r="AQ3" s="279">
        <f>'1. ЦСП'!R10</f>
        <v>0</v>
      </c>
      <c r="AR3" s="279">
        <f>'1. ЦСП'!G10</f>
        <v>0</v>
      </c>
      <c r="AS3" s="279">
        <f>'1. ЦСП'!H10</f>
        <v>0</v>
      </c>
      <c r="AT3" s="279">
        <f>'1. ЦСП'!I10</f>
        <v>0</v>
      </c>
      <c r="AU3" s="279">
        <f>'1. ЦСП'!J10</f>
        <v>0</v>
      </c>
      <c r="AV3" s="279">
        <f>'1. ЦСП'!K10</f>
        <v>0</v>
      </c>
      <c r="AW3" s="279">
        <f>'1. ЦСП'!L10</f>
        <v>0</v>
      </c>
      <c r="AX3" s="279">
        <f>'1. ЦСП'!M10</f>
        <v>0</v>
      </c>
      <c r="AY3" s="279">
        <f>'1. ЦСП'!N10</f>
        <v>0</v>
      </c>
      <c r="AZ3" s="279">
        <f>'1. ЦСП'!O10</f>
        <v>0</v>
      </c>
      <c r="BA3" s="279">
        <f>'1. ЦСП'!P10</f>
        <v>0</v>
      </c>
      <c r="BB3" s="279">
        <f>'1. ЦСП'!Q10</f>
        <v>0</v>
      </c>
      <c r="BC3" s="279">
        <f>'1. ЦСП'!R10</f>
        <v>0</v>
      </c>
      <c r="BD3" s="279">
        <f>'1. ЦСП'!G9</f>
        <v>21546.209786802028</v>
      </c>
      <c r="BE3" s="279">
        <f>'1. ЦСП'!H9</f>
        <v>0</v>
      </c>
      <c r="BF3" s="279">
        <f>'1. ЦСП'!I9</f>
        <v>0</v>
      </c>
      <c r="BG3" s="279">
        <f>'1. ЦСП'!J9</f>
        <v>15241868</v>
      </c>
      <c r="BH3" s="279">
        <f>'1. ЦСП'!K9</f>
        <v>0</v>
      </c>
      <c r="BI3" s="279">
        <f>'1. ЦСП'!L9</f>
        <v>0</v>
      </c>
      <c r="BJ3" s="279">
        <f>'1. ЦСП'!M9</f>
        <v>0</v>
      </c>
      <c r="BK3" s="279">
        <f>'1. ЦСП'!N9</f>
        <v>0</v>
      </c>
      <c r="BL3" s="279">
        <f>'1. ЦСП'!O9</f>
        <v>0</v>
      </c>
      <c r="BM3" s="279">
        <f>'1. ЦСП'!P9</f>
        <v>0</v>
      </c>
      <c r="BN3" s="279">
        <f>'1. ЦСП'!Q9</f>
        <v>14364.13985786802</v>
      </c>
      <c r="BO3" s="279">
        <f>'1. ЦСП'!R9</f>
        <v>0</v>
      </c>
      <c r="BP3" s="279">
        <f>'1. ЦСП'!G9</f>
        <v>21546.209786802028</v>
      </c>
      <c r="BQ3" s="279">
        <f>'1. ЦСП'!H9</f>
        <v>0</v>
      </c>
      <c r="BR3" s="279">
        <f>'1. ЦСП'!I9</f>
        <v>0</v>
      </c>
      <c r="BS3" s="279">
        <f>'1. ЦСП'!J9</f>
        <v>15241868</v>
      </c>
      <c r="BT3" s="279">
        <f>'1. ЦСП'!K9</f>
        <v>0</v>
      </c>
      <c r="BU3" s="279">
        <f>'1. ЦСП'!L9</f>
        <v>0</v>
      </c>
      <c r="BV3" s="279">
        <f>'1. ЦСП'!M9</f>
        <v>0</v>
      </c>
      <c r="BW3" s="279">
        <f>'1. ЦСП'!N9</f>
        <v>0</v>
      </c>
      <c r="BX3" s="279">
        <f>'1. ЦСП'!O9</f>
        <v>0</v>
      </c>
      <c r="BY3" s="279">
        <f>'1. ЦСП'!P9</f>
        <v>0</v>
      </c>
      <c r="BZ3" s="279">
        <f>'1. ЦСП'!Q9</f>
        <v>14364.13985786802</v>
      </c>
      <c r="CA3" s="279">
        <f>'1. ЦСП'!R9</f>
        <v>0</v>
      </c>
    </row>
    <row r="4" spans="1:79" x14ac:dyDescent="0.25">
      <c r="A4" t="s">
        <v>328</v>
      </c>
      <c r="B4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4" t="str">
        <f>'1. ЦСП'!$B$14</f>
        <v xml:space="preserve">За пределами территории Российской Федерации </v>
      </c>
      <c r="E4">
        <f>'1. ЦСП'!D15</f>
        <v>1154</v>
      </c>
      <c r="F4">
        <f>'1. ЦСП'!E15</f>
        <v>1154</v>
      </c>
      <c r="G4">
        <f>'1. ЦСП'!F15</f>
        <v>1154</v>
      </c>
      <c r="H4" s="279">
        <f>'1. ЦСП'!G14</f>
        <v>10773.104893401014</v>
      </c>
      <c r="I4" s="279">
        <f>'1. ЦСП'!H14</f>
        <v>0</v>
      </c>
      <c r="J4" s="279">
        <f>'1. ЦСП'!I14</f>
        <v>0</v>
      </c>
      <c r="K4" s="279">
        <f>'1. ЦСП'!J14</f>
        <v>1524186.8</v>
      </c>
      <c r="L4" s="279">
        <f>'1. ЦСП'!K14</f>
        <v>0</v>
      </c>
      <c r="M4" s="279">
        <f>'1. ЦСП'!L14</f>
        <v>0</v>
      </c>
      <c r="N4" s="279">
        <f>'1. ЦСП'!M14</f>
        <v>0</v>
      </c>
      <c r="O4" s="279">
        <f>'1. ЦСП'!N14</f>
        <v>0</v>
      </c>
      <c r="P4" s="279">
        <f>'1. ЦСП'!O14</f>
        <v>0</v>
      </c>
      <c r="Q4" s="279">
        <f>'1. ЦСП'!P14</f>
        <v>0</v>
      </c>
      <c r="R4" s="279">
        <f>'1. ЦСП'!Q14</f>
        <v>7182.0699289340109</v>
      </c>
      <c r="S4" s="279">
        <f>'1. ЦСП'!R14</f>
        <v>0</v>
      </c>
      <c r="T4" s="279">
        <f>'1. ЦСП'!G15</f>
        <v>12432.2</v>
      </c>
      <c r="U4" s="279">
        <f>'1. ЦСП'!H15</f>
        <v>0</v>
      </c>
      <c r="V4" s="279">
        <f>'1. ЦСП'!I15</f>
        <v>0</v>
      </c>
      <c r="W4" s="279">
        <f>'1. ЦСП'!J15</f>
        <v>1758911.6</v>
      </c>
      <c r="X4" s="279">
        <f>'1. ЦСП'!K15</f>
        <v>0</v>
      </c>
      <c r="Y4" s="279">
        <f>'1. ЦСП'!L15</f>
        <v>0</v>
      </c>
      <c r="Z4" s="279">
        <f>'1. ЦСП'!M15</f>
        <v>0</v>
      </c>
      <c r="AA4" s="279">
        <f>'1. ЦСП'!N15</f>
        <v>0</v>
      </c>
      <c r="AB4" s="279">
        <f>'1. ЦСП'!O15</f>
        <v>0</v>
      </c>
      <c r="AC4" s="279">
        <f>'1. ЦСП'!P15</f>
        <v>0</v>
      </c>
      <c r="AD4" s="279">
        <f>'1. ЦСП'!Q15</f>
        <v>8288.1</v>
      </c>
      <c r="AE4" s="279">
        <f>'1. ЦСП'!R15</f>
        <v>0</v>
      </c>
      <c r="AF4" s="279">
        <f>'1. ЦСП'!G15</f>
        <v>12432.2</v>
      </c>
      <c r="AG4" s="279">
        <f>'1. ЦСП'!H15</f>
        <v>0</v>
      </c>
      <c r="AH4" s="279">
        <f>'1. ЦСП'!I15</f>
        <v>0</v>
      </c>
      <c r="AI4" s="279">
        <f>'1. ЦСП'!J15</f>
        <v>1758911.6</v>
      </c>
      <c r="AJ4" s="279">
        <f>'1. ЦСП'!K15</f>
        <v>0</v>
      </c>
      <c r="AK4" s="279">
        <f>'1. ЦСП'!L15</f>
        <v>0</v>
      </c>
      <c r="AL4" s="279">
        <f>'1. ЦСП'!M15</f>
        <v>0</v>
      </c>
      <c r="AM4" s="279">
        <f>'1. ЦСП'!N15</f>
        <v>0</v>
      </c>
      <c r="AN4" s="279">
        <f>'1. ЦСП'!O15</f>
        <v>0</v>
      </c>
      <c r="AO4" s="279">
        <f>'1. ЦСП'!P15</f>
        <v>0</v>
      </c>
      <c r="AP4" s="279">
        <f>'1. ЦСП'!Q15</f>
        <v>8288.1</v>
      </c>
      <c r="AQ4" s="279">
        <f>'1. ЦСП'!R15</f>
        <v>0</v>
      </c>
      <c r="AR4" s="279">
        <f>'1. ЦСП'!G15</f>
        <v>12432.2</v>
      </c>
      <c r="AS4" s="279">
        <f>'1. ЦСП'!H15</f>
        <v>0</v>
      </c>
      <c r="AT4" s="279">
        <f>'1. ЦСП'!I15</f>
        <v>0</v>
      </c>
      <c r="AU4" s="279">
        <f>'1. ЦСП'!J15</f>
        <v>1758911.6</v>
      </c>
      <c r="AV4" s="279">
        <f>'1. ЦСП'!K15</f>
        <v>0</v>
      </c>
      <c r="AW4" s="279">
        <f>'1. ЦСП'!L15</f>
        <v>0</v>
      </c>
      <c r="AX4" s="279">
        <f>'1. ЦСП'!M15</f>
        <v>0</v>
      </c>
      <c r="AY4" s="279">
        <f>'1. ЦСП'!N15</f>
        <v>0</v>
      </c>
      <c r="AZ4" s="279">
        <f>'1. ЦСП'!O15</f>
        <v>0</v>
      </c>
      <c r="BA4" s="279">
        <f>'1. ЦСП'!P15</f>
        <v>0</v>
      </c>
      <c r="BB4" s="279">
        <f>'1. ЦСП'!Q15</f>
        <v>8288.1</v>
      </c>
      <c r="BC4" s="279">
        <f>'1. ЦСП'!R15</f>
        <v>0</v>
      </c>
      <c r="BD4" s="279">
        <f>'1. ЦСП'!G14</f>
        <v>10773.104893401014</v>
      </c>
      <c r="BE4" s="279">
        <f>'1. ЦСП'!H14</f>
        <v>0</v>
      </c>
      <c r="BF4" s="279">
        <f>'1. ЦСП'!I14</f>
        <v>0</v>
      </c>
      <c r="BG4" s="279">
        <f>'1. ЦСП'!J14</f>
        <v>1524186.8</v>
      </c>
      <c r="BH4" s="279">
        <f>'1. ЦСП'!K14</f>
        <v>0</v>
      </c>
      <c r="BI4" s="279">
        <f>'1. ЦСП'!L14</f>
        <v>0</v>
      </c>
      <c r="BJ4" s="279">
        <f>'1. ЦСП'!M14</f>
        <v>0</v>
      </c>
      <c r="BK4" s="279">
        <f>'1. ЦСП'!N14</f>
        <v>0</v>
      </c>
      <c r="BL4" s="279">
        <f>'1. ЦСП'!O14</f>
        <v>0</v>
      </c>
      <c r="BM4" s="279">
        <f>'1. ЦСП'!P14</f>
        <v>0</v>
      </c>
      <c r="BN4" s="279">
        <f>'1. ЦСП'!Q14</f>
        <v>7182.0699289340109</v>
      </c>
      <c r="BO4" s="279">
        <f>'1. ЦСП'!R14</f>
        <v>0</v>
      </c>
      <c r="BP4" s="279">
        <f>'1. ЦСП'!G14</f>
        <v>10773.104893401014</v>
      </c>
      <c r="BQ4" s="279">
        <f>'1. ЦСП'!H14</f>
        <v>0</v>
      </c>
      <c r="BR4" s="279">
        <f>'1. ЦСП'!I14</f>
        <v>0</v>
      </c>
      <c r="BS4" s="279">
        <f>'1. ЦСП'!J14</f>
        <v>1524186.8</v>
      </c>
      <c r="BT4" s="279">
        <f>'1. ЦСП'!K14</f>
        <v>0</v>
      </c>
      <c r="BU4" s="279">
        <f>'1. ЦСП'!L14</f>
        <v>0</v>
      </c>
      <c r="BV4" s="279">
        <f>'1. ЦСП'!M14</f>
        <v>0</v>
      </c>
      <c r="BW4" s="279">
        <f>'1. ЦСП'!N14</f>
        <v>0</v>
      </c>
      <c r="BX4" s="279">
        <f>'1. ЦСП'!O14</f>
        <v>0</v>
      </c>
      <c r="BY4" s="279">
        <f>'1. ЦСП'!P14</f>
        <v>0</v>
      </c>
      <c r="BZ4" s="279">
        <f>'1. ЦСП'!Q14</f>
        <v>7182.0699289340109</v>
      </c>
      <c r="CA4" s="279">
        <f>'1. ЦСП'!R14</f>
        <v>0</v>
      </c>
    </row>
    <row r="5" spans="1:79" x14ac:dyDescent="0.25">
      <c r="A5" t="s">
        <v>328</v>
      </c>
      <c r="B5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5" t="str">
        <f>'1. ЦСП'!$B$14</f>
        <v xml:space="preserve">За пределами территории Российской Федерации </v>
      </c>
      <c r="E5">
        <f>'1. ЦСП'!D17</f>
        <v>2</v>
      </c>
      <c r="F5">
        <f>'1. ЦСП'!E18</f>
        <v>2</v>
      </c>
      <c r="G5">
        <f>'1. ЦСП'!F19</f>
        <v>1</v>
      </c>
      <c r="H5" s="279">
        <f>'1. ЦСП'!G16</f>
        <v>21546.209786802028</v>
      </c>
      <c r="I5" s="279">
        <f>'1. ЦСП'!H16</f>
        <v>0</v>
      </c>
      <c r="J5" s="279">
        <f>'1. ЦСП'!I16</f>
        <v>0</v>
      </c>
      <c r="K5" s="279">
        <f>'1. ЦСП'!J16</f>
        <v>15241868</v>
      </c>
      <c r="L5" s="279">
        <f>'1. ЦСП'!K16</f>
        <v>0</v>
      </c>
      <c r="M5" s="279">
        <f>'1. ЦСП'!L16</f>
        <v>0</v>
      </c>
      <c r="N5" s="279">
        <f>'1. ЦСП'!M16</f>
        <v>0</v>
      </c>
      <c r="O5" s="279">
        <f>'1. ЦСП'!N16</f>
        <v>0</v>
      </c>
      <c r="P5" s="279">
        <f>'1. ЦСП'!O16</f>
        <v>0</v>
      </c>
      <c r="Q5" s="279">
        <f>'1. ЦСП'!P16</f>
        <v>0</v>
      </c>
      <c r="R5" s="279">
        <f>'1. ЦСП'!Q16</f>
        <v>14364.13985786802</v>
      </c>
      <c r="S5" s="279">
        <f>'1. ЦСП'!R16</f>
        <v>0</v>
      </c>
      <c r="T5" s="279">
        <f>'1. ЦСП'!G17</f>
        <v>43.1</v>
      </c>
      <c r="U5" s="279">
        <f>'1. ЦСП'!H17</f>
        <v>0</v>
      </c>
      <c r="V5" s="279">
        <f>'1. ЦСП'!I17</f>
        <v>0</v>
      </c>
      <c r="W5" s="279">
        <f>'1. ЦСП'!J17</f>
        <v>0</v>
      </c>
      <c r="X5" s="279">
        <f>'1. ЦСП'!K17</f>
        <v>0</v>
      </c>
      <c r="Y5" s="279">
        <f>'1. ЦСП'!L17</f>
        <v>0</v>
      </c>
      <c r="Z5" s="279">
        <f>'1. ЦСП'!M17</f>
        <v>0</v>
      </c>
      <c r="AA5" s="279">
        <f>'1. ЦСП'!N17</f>
        <v>0</v>
      </c>
      <c r="AB5" s="279">
        <f>'1. ЦСП'!O17</f>
        <v>0</v>
      </c>
      <c r="AC5" s="279">
        <f>'1. ЦСП'!P17</f>
        <v>0</v>
      </c>
      <c r="AD5" s="279">
        <f>'1. ЦСП'!Q17</f>
        <v>0</v>
      </c>
      <c r="AE5" s="279">
        <f>'1. ЦСП'!R17</f>
        <v>0</v>
      </c>
      <c r="AF5" s="279">
        <f>'1. ЦСП'!G18</f>
        <v>43.1</v>
      </c>
      <c r="AG5" s="279">
        <f>'1. ЦСП'!H18</f>
        <v>0</v>
      </c>
      <c r="AH5" s="279">
        <f>'1. ЦСП'!I18</f>
        <v>0</v>
      </c>
      <c r="AI5" s="279">
        <f>'1. ЦСП'!J18</f>
        <v>30483.7</v>
      </c>
      <c r="AJ5" s="279">
        <f>'1. ЦСП'!K18</f>
        <v>0</v>
      </c>
      <c r="AK5" s="279">
        <f>'1. ЦСП'!L18</f>
        <v>0</v>
      </c>
      <c r="AL5" s="279">
        <f>'1. ЦСП'!M18</f>
        <v>0</v>
      </c>
      <c r="AM5" s="279">
        <f>'1. ЦСП'!N18</f>
        <v>0</v>
      </c>
      <c r="AN5" s="279">
        <f>'1. ЦСП'!O18</f>
        <v>0</v>
      </c>
      <c r="AO5" s="279">
        <f>'1. ЦСП'!P18</f>
        <v>0</v>
      </c>
      <c r="AP5" s="279">
        <f>'1. ЦСП'!Q18</f>
        <v>28.7</v>
      </c>
      <c r="AQ5" s="279">
        <f>'1. ЦСП'!R18</f>
        <v>0</v>
      </c>
      <c r="AR5" s="279">
        <f>'1. ЦСП'!G19</f>
        <v>21.5</v>
      </c>
      <c r="AS5" s="279">
        <f>'1. ЦСП'!H19</f>
        <v>0</v>
      </c>
      <c r="AT5" s="279">
        <f>'1. ЦСП'!I19</f>
        <v>0</v>
      </c>
      <c r="AU5" s="279">
        <f>'1. ЦСП'!J19</f>
        <v>15241.9</v>
      </c>
      <c r="AV5" s="279">
        <f>'1. ЦСП'!K19</f>
        <v>0</v>
      </c>
      <c r="AW5" s="279">
        <f>'1. ЦСП'!L19</f>
        <v>0</v>
      </c>
      <c r="AX5" s="279">
        <f>'1. ЦСП'!M19</f>
        <v>0</v>
      </c>
      <c r="AY5" s="279">
        <f>'1. ЦСП'!N19</f>
        <v>0</v>
      </c>
      <c r="AZ5" s="279">
        <f>'1. ЦСП'!O19</f>
        <v>0</v>
      </c>
      <c r="BA5" s="279">
        <f>'1. ЦСП'!P19</f>
        <v>0</v>
      </c>
      <c r="BB5" s="279">
        <f>'1. ЦСП'!Q19</f>
        <v>14.4</v>
      </c>
      <c r="BC5" s="279">
        <f>'1. ЦСП'!R19</f>
        <v>0</v>
      </c>
      <c r="BD5" s="279">
        <f>'1. ЦСП'!G16</f>
        <v>21546.209786802028</v>
      </c>
      <c r="BE5" s="279">
        <f>'1. ЦСП'!H16</f>
        <v>0</v>
      </c>
      <c r="BF5" s="279">
        <f>'1. ЦСП'!I16</f>
        <v>0</v>
      </c>
      <c r="BG5" s="279">
        <f>'1. ЦСП'!J16</f>
        <v>15241868</v>
      </c>
      <c r="BH5" s="279">
        <f>'1. ЦСП'!K16</f>
        <v>0</v>
      </c>
      <c r="BI5" s="279">
        <f>'1. ЦСП'!L16</f>
        <v>0</v>
      </c>
      <c r="BJ5" s="279">
        <f>'1. ЦСП'!M16</f>
        <v>0</v>
      </c>
      <c r="BK5" s="279">
        <f>'1. ЦСП'!N16</f>
        <v>0</v>
      </c>
      <c r="BL5" s="279">
        <f>'1. ЦСП'!O16</f>
        <v>0</v>
      </c>
      <c r="BM5" s="279">
        <f>'1. ЦСП'!P16</f>
        <v>0</v>
      </c>
      <c r="BN5" s="279">
        <f>'1. ЦСП'!Q16</f>
        <v>14364.13985786802</v>
      </c>
      <c r="BO5" s="279">
        <f>'1. ЦСП'!R16</f>
        <v>0</v>
      </c>
      <c r="BP5" s="279">
        <f>'1. ЦСП'!G16</f>
        <v>21546.209786802028</v>
      </c>
      <c r="BQ5" s="279">
        <f>'1. ЦСП'!H16</f>
        <v>0</v>
      </c>
      <c r="BR5" s="279">
        <f>'1. ЦСП'!I16</f>
        <v>0</v>
      </c>
      <c r="BS5" s="279">
        <f>'1. ЦСП'!J16</f>
        <v>15241868</v>
      </c>
      <c r="BT5" s="279">
        <f>'1. ЦСП'!K16</f>
        <v>0</v>
      </c>
      <c r="BU5" s="279">
        <f>'1. ЦСП'!L16</f>
        <v>0</v>
      </c>
      <c r="BV5" s="279">
        <f>'1. ЦСП'!M16</f>
        <v>0</v>
      </c>
      <c r="BW5" s="279">
        <f>'1. ЦСП'!N16</f>
        <v>0</v>
      </c>
      <c r="BX5" s="279">
        <f>'1. ЦСП'!O16</f>
        <v>0</v>
      </c>
      <c r="BY5" s="279">
        <f>'1. ЦСП'!P16</f>
        <v>0</v>
      </c>
      <c r="BZ5" s="279">
        <f>'1. ЦСП'!Q16</f>
        <v>14364.13985786802</v>
      </c>
      <c r="CA5" s="279">
        <f>'1. ЦСП'!R16</f>
        <v>0</v>
      </c>
    </row>
    <row r="6" spans="1:79" x14ac:dyDescent="0.25">
      <c r="A6" t="s">
        <v>328</v>
      </c>
      <c r="B6" s="278" t="str">
        <f>'1. ЦСП'!$A$23</f>
        <v>Организация и проведение официальных спортивных мероприятий.</v>
      </c>
      <c r="D6" t="str">
        <f>'1. ЦСП'!$B$23</f>
        <v>Международные, на территории Российской Федерации</v>
      </c>
      <c r="E6">
        <f>'1. ЦСП'!D24</f>
        <v>10</v>
      </c>
      <c r="F6">
        <f>'1. ЦСП'!E24</f>
        <v>10</v>
      </c>
      <c r="G6">
        <f>'1. ЦСП'!F24</f>
        <v>10</v>
      </c>
      <c r="H6" s="279">
        <f>'1. ЦСП'!G23</f>
        <v>253383.42709279183</v>
      </c>
      <c r="I6" s="279">
        <f>'1. ЦСП'!H23</f>
        <v>370000</v>
      </c>
      <c r="J6" s="279">
        <f>'1. ЦСП'!I23</f>
        <v>0</v>
      </c>
      <c r="K6" s="279">
        <f>'1. ЦСП'!J23</f>
        <v>19926290</v>
      </c>
      <c r="L6" s="279">
        <f>'1. ЦСП'!K23</f>
        <v>0</v>
      </c>
      <c r="M6" s="279">
        <f>'1. ЦСП'!L23</f>
        <v>0</v>
      </c>
      <c r="N6" s="279">
        <f>'1. ЦСП'!M23</f>
        <v>0</v>
      </c>
      <c r="O6" s="279">
        <f>'1. ЦСП'!N23</f>
        <v>0</v>
      </c>
      <c r="P6" s="279">
        <f>'1. ЦСП'!O23</f>
        <v>0</v>
      </c>
      <c r="Q6" s="279">
        <f>'1. ЦСП'!P23</f>
        <v>0</v>
      </c>
      <c r="R6" s="279">
        <f>'1. ЦСП'!Q23</f>
        <v>168744.84629498128</v>
      </c>
      <c r="S6" s="279">
        <f>'1. ЦСП'!R23</f>
        <v>0</v>
      </c>
      <c r="T6" s="279">
        <f>'1. ЦСП'!G24</f>
        <v>2533.8000000000002</v>
      </c>
      <c r="U6" s="279">
        <f>'1. ЦСП'!H24</f>
        <v>3700</v>
      </c>
      <c r="V6" s="279">
        <f>'1. ЦСП'!I24</f>
        <v>0</v>
      </c>
      <c r="W6" s="279">
        <f>'1. ЦСП'!J24</f>
        <v>199262.9</v>
      </c>
      <c r="X6" s="279">
        <f>'1. ЦСП'!K24</f>
        <v>0</v>
      </c>
      <c r="Y6" s="279">
        <f>'1. ЦСП'!L24</f>
        <v>0</v>
      </c>
      <c r="Z6" s="279">
        <f>'1. ЦСП'!M24</f>
        <v>0</v>
      </c>
      <c r="AA6" s="279">
        <f>'1. ЦСП'!N24</f>
        <v>0</v>
      </c>
      <c r="AB6" s="279">
        <f>'1. ЦСП'!O24</f>
        <v>0</v>
      </c>
      <c r="AC6" s="279">
        <f>'1. ЦСП'!P24</f>
        <v>0</v>
      </c>
      <c r="AD6" s="279">
        <f>'1. ЦСП'!Q24</f>
        <v>1687.4</v>
      </c>
      <c r="AE6" s="279">
        <f>'1. ЦСП'!R24</f>
        <v>0</v>
      </c>
      <c r="AF6" s="279">
        <f>'1. ЦСП'!G24</f>
        <v>2533.8000000000002</v>
      </c>
      <c r="AG6" s="279">
        <f>'1. ЦСП'!H24</f>
        <v>3700</v>
      </c>
      <c r="AH6" s="279">
        <f>'1. ЦСП'!I24</f>
        <v>0</v>
      </c>
      <c r="AI6" s="279">
        <f>'1. ЦСП'!J24</f>
        <v>199262.9</v>
      </c>
      <c r="AJ6" s="279">
        <f>'1. ЦСП'!K24</f>
        <v>0</v>
      </c>
      <c r="AK6" s="279">
        <f>'1. ЦСП'!L24</f>
        <v>0</v>
      </c>
      <c r="AL6" s="279">
        <f>'1. ЦСП'!M24</f>
        <v>0</v>
      </c>
      <c r="AM6" s="279">
        <f>'1. ЦСП'!N24</f>
        <v>0</v>
      </c>
      <c r="AN6" s="279">
        <f>'1. ЦСП'!O24</f>
        <v>0</v>
      </c>
      <c r="AO6" s="279">
        <f>'1. ЦСП'!P24</f>
        <v>0</v>
      </c>
      <c r="AP6" s="279">
        <f>'1. ЦСП'!Q24</f>
        <v>1687.4</v>
      </c>
      <c r="AQ6" s="279">
        <f>'1. ЦСП'!R24</f>
        <v>0</v>
      </c>
      <c r="AR6" s="279">
        <f>'1. ЦСП'!G24</f>
        <v>2533.8000000000002</v>
      </c>
      <c r="AS6" s="279">
        <f>'1. ЦСП'!H24</f>
        <v>3700</v>
      </c>
      <c r="AT6" s="279">
        <f>'1. ЦСП'!I24</f>
        <v>0</v>
      </c>
      <c r="AU6" s="279">
        <f>'1. ЦСП'!J24</f>
        <v>199262.9</v>
      </c>
      <c r="AV6" s="279">
        <f>'1. ЦСП'!K24</f>
        <v>0</v>
      </c>
      <c r="AW6" s="279">
        <f>'1. ЦСП'!L24</f>
        <v>0</v>
      </c>
      <c r="AX6" s="279">
        <f>'1. ЦСП'!M24</f>
        <v>0</v>
      </c>
      <c r="AY6" s="279">
        <f>'1. ЦСП'!N24</f>
        <v>0</v>
      </c>
      <c r="AZ6" s="279">
        <f>'1. ЦСП'!O24</f>
        <v>0</v>
      </c>
      <c r="BA6" s="279">
        <f>'1. ЦСП'!P24</f>
        <v>0</v>
      </c>
      <c r="BB6" s="279">
        <f>'1. ЦСП'!Q24</f>
        <v>1687.4</v>
      </c>
      <c r="BC6" s="279">
        <f>'1. ЦСП'!R24</f>
        <v>0</v>
      </c>
      <c r="BD6" s="279">
        <f>'1. ЦСП'!G23</f>
        <v>253383.42709279183</v>
      </c>
      <c r="BE6" s="279">
        <f>'1. ЦСП'!H23</f>
        <v>370000</v>
      </c>
      <c r="BF6" s="279">
        <f>'1. ЦСП'!I23</f>
        <v>0</v>
      </c>
      <c r="BG6" s="279">
        <f>'1. ЦСП'!J23</f>
        <v>19926290</v>
      </c>
      <c r="BH6" s="279">
        <f>'1. ЦСП'!K23</f>
        <v>0</v>
      </c>
      <c r="BI6" s="279">
        <f>'1. ЦСП'!L23</f>
        <v>0</v>
      </c>
      <c r="BJ6" s="279">
        <f>'1. ЦСП'!M23</f>
        <v>0</v>
      </c>
      <c r="BK6" s="279">
        <f>'1. ЦСП'!N23</f>
        <v>0</v>
      </c>
      <c r="BL6" s="279">
        <f>'1. ЦСП'!O23</f>
        <v>0</v>
      </c>
      <c r="BM6" s="279">
        <f>'1. ЦСП'!P23</f>
        <v>0</v>
      </c>
      <c r="BN6" s="279">
        <f>'1. ЦСП'!Q23</f>
        <v>168744.84629498128</v>
      </c>
      <c r="BO6" s="279">
        <f>'1. ЦСП'!R23</f>
        <v>0</v>
      </c>
      <c r="BP6" s="279">
        <f>'1. ЦСП'!G23</f>
        <v>253383.42709279183</v>
      </c>
      <c r="BQ6" s="279">
        <f>'1. ЦСП'!H23</f>
        <v>370000</v>
      </c>
      <c r="BR6" s="279">
        <f>'1. ЦСП'!I23</f>
        <v>0</v>
      </c>
      <c r="BS6" s="279">
        <f>'1. ЦСП'!J23</f>
        <v>19926290</v>
      </c>
      <c r="BT6" s="279">
        <f>'1. ЦСП'!K23</f>
        <v>0</v>
      </c>
      <c r="BU6" s="279">
        <f>'1. ЦСП'!L23</f>
        <v>0</v>
      </c>
      <c r="BV6" s="279">
        <f>'1. ЦСП'!M23</f>
        <v>0</v>
      </c>
      <c r="BW6" s="279">
        <f>'1. ЦСП'!N23</f>
        <v>0</v>
      </c>
      <c r="BX6" s="279">
        <f>'1. ЦСП'!O23</f>
        <v>0</v>
      </c>
      <c r="BY6" s="279">
        <f>'1. ЦСП'!P23</f>
        <v>0</v>
      </c>
      <c r="BZ6" s="279">
        <f>'1. ЦСП'!Q23</f>
        <v>168744.84629498128</v>
      </c>
      <c r="CA6" s="279">
        <f>'1. ЦСП'!R23</f>
        <v>0</v>
      </c>
    </row>
    <row r="7" spans="1:79" x14ac:dyDescent="0.25">
      <c r="A7" t="s">
        <v>328</v>
      </c>
      <c r="B7" s="278" t="str">
        <f>'1. ЦСП'!$A$23</f>
        <v>Организация и проведение официальных спортивных мероприятий.</v>
      </c>
      <c r="D7" t="str">
        <f>'1. ЦСП'!$B$25</f>
        <v>Всероссийские, на территории Российской Федерации</v>
      </c>
      <c r="E7">
        <f>'1. ЦСП'!D26</f>
        <v>824</v>
      </c>
      <c r="F7">
        <f>'1. ЦСП'!E26</f>
        <v>824</v>
      </c>
      <c r="G7">
        <f>'1. ЦСП'!F26</f>
        <v>824</v>
      </c>
      <c r="H7" s="279">
        <f>'1. ЦСП'!G25</f>
        <v>253383.42709279183</v>
      </c>
      <c r="I7" s="279">
        <f>'1. ЦСП'!H25</f>
        <v>370000</v>
      </c>
      <c r="J7" s="279">
        <f>'1. ЦСП'!I25</f>
        <v>0</v>
      </c>
      <c r="K7" s="279">
        <f>'1. ЦСП'!J25</f>
        <v>3055000</v>
      </c>
      <c r="L7" s="279">
        <f>'1. ЦСП'!K25</f>
        <v>0</v>
      </c>
      <c r="M7" s="279">
        <f>'1. ЦСП'!L25</f>
        <v>0</v>
      </c>
      <c r="N7" s="279">
        <f>'1. ЦСП'!M25</f>
        <v>0</v>
      </c>
      <c r="O7" s="279">
        <f>'1. ЦСП'!N25</f>
        <v>0</v>
      </c>
      <c r="P7" s="279">
        <f>'1. ЦСП'!O25</f>
        <v>0</v>
      </c>
      <c r="Q7" s="279">
        <f>'1. ЦСП'!P25</f>
        <v>0</v>
      </c>
      <c r="R7" s="279">
        <f>'1. ЦСП'!Q25</f>
        <v>168744.84629498128</v>
      </c>
      <c r="S7" s="279">
        <f>'1. ЦСП'!R25</f>
        <v>0</v>
      </c>
      <c r="T7" s="279">
        <f>'1. ЦСП'!G26</f>
        <v>208787.9</v>
      </c>
      <c r="U7" s="279">
        <f>'1. ЦСП'!H26</f>
        <v>304880</v>
      </c>
      <c r="V7" s="279">
        <f>'1. ЦСП'!I26</f>
        <v>0</v>
      </c>
      <c r="W7" s="279">
        <f>'1. ЦСП'!J26</f>
        <v>2517320</v>
      </c>
      <c r="X7" s="279">
        <f>'1. ЦСП'!K26</f>
        <v>0</v>
      </c>
      <c r="Y7" s="279">
        <f>'1. ЦСП'!L26</f>
        <v>0</v>
      </c>
      <c r="Z7" s="279">
        <f>'1. ЦСП'!M26</f>
        <v>0</v>
      </c>
      <c r="AA7" s="279">
        <f>'1. ЦСП'!N26</f>
        <v>0</v>
      </c>
      <c r="AB7" s="279">
        <f>'1. ЦСП'!O26</f>
        <v>0</v>
      </c>
      <c r="AC7" s="279">
        <f>'1. ЦСП'!P26</f>
        <v>0</v>
      </c>
      <c r="AD7" s="279">
        <f>'1. ЦСП'!Q26</f>
        <v>139045.79999999999</v>
      </c>
      <c r="AE7" s="279">
        <f>'1. ЦСП'!R26</f>
        <v>0</v>
      </c>
      <c r="AF7" s="279">
        <f>'1. ЦСП'!G26</f>
        <v>208787.9</v>
      </c>
      <c r="AG7" s="279">
        <f>'1. ЦСП'!H26</f>
        <v>304880</v>
      </c>
      <c r="AH7" s="279">
        <f>'1. ЦСП'!I26</f>
        <v>0</v>
      </c>
      <c r="AI7" s="279">
        <f>'1. ЦСП'!J26</f>
        <v>2517320</v>
      </c>
      <c r="AJ7" s="279">
        <f>'1. ЦСП'!K26</f>
        <v>0</v>
      </c>
      <c r="AK7" s="279">
        <f>'1. ЦСП'!L26</f>
        <v>0</v>
      </c>
      <c r="AL7" s="279">
        <f>'1. ЦСП'!M26</f>
        <v>0</v>
      </c>
      <c r="AM7" s="279">
        <f>'1. ЦСП'!N26</f>
        <v>0</v>
      </c>
      <c r="AN7" s="279">
        <f>'1. ЦСП'!O26</f>
        <v>0</v>
      </c>
      <c r="AO7" s="279">
        <f>'1. ЦСП'!P26</f>
        <v>0</v>
      </c>
      <c r="AP7" s="279">
        <f>'1. ЦСП'!Q26</f>
        <v>139045.79999999999</v>
      </c>
      <c r="AQ7" s="279">
        <f>'1. ЦСП'!R26</f>
        <v>0</v>
      </c>
      <c r="AR7" s="279">
        <f>'1. ЦСП'!G26</f>
        <v>208787.9</v>
      </c>
      <c r="AS7" s="279">
        <f>'1. ЦСП'!H26</f>
        <v>304880</v>
      </c>
      <c r="AT7" s="279">
        <f>'1. ЦСП'!I26</f>
        <v>0</v>
      </c>
      <c r="AU7" s="279">
        <f>'1. ЦСП'!J26</f>
        <v>2517320</v>
      </c>
      <c r="AV7" s="279">
        <f>'1. ЦСП'!K26</f>
        <v>0</v>
      </c>
      <c r="AW7" s="279">
        <f>'1. ЦСП'!L26</f>
        <v>0</v>
      </c>
      <c r="AX7" s="279">
        <f>'1. ЦСП'!M26</f>
        <v>0</v>
      </c>
      <c r="AY7" s="279">
        <f>'1. ЦСП'!N26</f>
        <v>0</v>
      </c>
      <c r="AZ7" s="279">
        <f>'1. ЦСП'!O26</f>
        <v>0</v>
      </c>
      <c r="BA7" s="279">
        <f>'1. ЦСП'!P26</f>
        <v>0</v>
      </c>
      <c r="BB7" s="279">
        <f>'1. ЦСП'!Q26</f>
        <v>139045.79999999999</v>
      </c>
      <c r="BC7" s="279">
        <f>'1. ЦСП'!R26</f>
        <v>0</v>
      </c>
      <c r="BD7" s="279">
        <f>'1. ЦСП'!G25</f>
        <v>253383.42709279183</v>
      </c>
      <c r="BE7" s="279">
        <f>'1. ЦСП'!H25</f>
        <v>370000</v>
      </c>
      <c r="BF7" s="279">
        <f>'1. ЦСП'!I25</f>
        <v>0</v>
      </c>
      <c r="BG7" s="279">
        <f>'1. ЦСП'!J25</f>
        <v>3055000</v>
      </c>
      <c r="BH7" s="279">
        <f>'1. ЦСП'!K25</f>
        <v>0</v>
      </c>
      <c r="BI7" s="279">
        <f>'1. ЦСП'!L25</f>
        <v>0</v>
      </c>
      <c r="BJ7" s="279">
        <f>'1. ЦСП'!M25</f>
        <v>0</v>
      </c>
      <c r="BK7" s="279">
        <f>'1. ЦСП'!N25</f>
        <v>0</v>
      </c>
      <c r="BL7" s="279">
        <f>'1. ЦСП'!O25</f>
        <v>0</v>
      </c>
      <c r="BM7" s="279">
        <f>'1. ЦСП'!P25</f>
        <v>0</v>
      </c>
      <c r="BN7" s="279">
        <f>'1. ЦСП'!Q25</f>
        <v>168744.84629498128</v>
      </c>
      <c r="BO7" s="279">
        <f>'1. ЦСП'!R25</f>
        <v>0</v>
      </c>
      <c r="BP7" s="279">
        <f>'1. ЦСП'!G25</f>
        <v>253383.42709279183</v>
      </c>
      <c r="BQ7" s="279">
        <f>'1. ЦСП'!H25</f>
        <v>370000</v>
      </c>
      <c r="BR7" s="279">
        <f>'1. ЦСП'!I25</f>
        <v>0</v>
      </c>
      <c r="BS7" s="279">
        <f>'1. ЦСП'!J25</f>
        <v>3055000</v>
      </c>
      <c r="BT7" s="279">
        <f>'1. ЦСП'!K25</f>
        <v>0</v>
      </c>
      <c r="BU7" s="279">
        <f>'1. ЦСП'!L25</f>
        <v>0</v>
      </c>
      <c r="BV7" s="279">
        <f>'1. ЦСП'!M25</f>
        <v>0</v>
      </c>
      <c r="BW7" s="279">
        <f>'1. ЦСП'!N25</f>
        <v>0</v>
      </c>
      <c r="BX7" s="279">
        <f>'1. ЦСП'!O25</f>
        <v>0</v>
      </c>
      <c r="BY7" s="279">
        <f>'1. ЦСП'!P25</f>
        <v>0</v>
      </c>
      <c r="BZ7" s="279">
        <f>'1. ЦСП'!Q25</f>
        <v>168744.84629498128</v>
      </c>
      <c r="CA7" s="279">
        <f>'1. ЦСП'!R25</f>
        <v>0</v>
      </c>
    </row>
    <row r="8" spans="1:79" x14ac:dyDescent="0.25">
      <c r="A8" t="s">
        <v>328</v>
      </c>
      <c r="B8" t="str">
        <f>'1. ЦСП'!$A$28</f>
        <v xml:space="preserve">Организация мероприятий по подготовке спортивных сборных команд. </v>
      </c>
      <c r="D8" t="str">
        <f>'1. ЦСП'!$B$28</f>
        <v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v>
      </c>
      <c r="E8" s="280">
        <f>'1. ЦСП'!D29</f>
        <v>350625</v>
      </c>
      <c r="F8" s="280">
        <f>'1. ЦСП'!E29</f>
        <v>350625</v>
      </c>
      <c r="G8" s="280">
        <f>'1. ЦСП'!F29</f>
        <v>350625</v>
      </c>
      <c r="H8" s="279">
        <f>'1. ЦСП'!G28</f>
        <v>1325.2</v>
      </c>
      <c r="I8" s="279">
        <f>'1. ЦСП'!H28</f>
        <v>1152.2</v>
      </c>
      <c r="J8" s="279">
        <f>'1. ЦСП'!I28</f>
        <v>8.6</v>
      </c>
      <c r="K8" s="279">
        <f>'1. ЦСП'!J28</f>
        <v>30.1</v>
      </c>
      <c r="L8" s="279">
        <f>'1. ЦСП'!K28</f>
        <v>522.20000000000005</v>
      </c>
      <c r="M8" s="279">
        <f>'1. ЦСП'!L28</f>
        <v>276.39999999999998</v>
      </c>
      <c r="N8" s="279">
        <f>'1. ЦСП'!M28</f>
        <v>9.1</v>
      </c>
      <c r="O8" s="279">
        <f>'1. ЦСП'!N28</f>
        <v>49.4</v>
      </c>
      <c r="P8" s="279">
        <f>'1. ЦСП'!O28</f>
        <v>12.9</v>
      </c>
      <c r="Q8" s="279">
        <f>'1. ЦСП'!P28</f>
        <v>24.3</v>
      </c>
      <c r="R8" s="279">
        <f>'1. ЦСП'!Q28</f>
        <v>722.2</v>
      </c>
      <c r="S8" s="279">
        <f>'1. ЦСП'!R28</f>
        <v>1073.5999999999999</v>
      </c>
      <c r="T8" s="279">
        <f>'1. ЦСП'!G28</f>
        <v>1325.2</v>
      </c>
      <c r="U8" s="279">
        <f>'1. ЦСП'!H28</f>
        <v>1152.2</v>
      </c>
      <c r="V8" s="279">
        <f>'1. ЦСП'!I28</f>
        <v>8.6</v>
      </c>
      <c r="W8" s="279">
        <f>'1. ЦСП'!J28</f>
        <v>30.1</v>
      </c>
      <c r="X8" s="279">
        <f>'1. ЦСП'!K28</f>
        <v>522.20000000000005</v>
      </c>
      <c r="Y8" s="279">
        <f>'1. ЦСП'!L28</f>
        <v>276.39999999999998</v>
      </c>
      <c r="Z8" s="279">
        <f>'1. ЦСП'!M28</f>
        <v>9.1</v>
      </c>
      <c r="AA8" s="279">
        <f>'1. ЦСП'!N28</f>
        <v>49.4</v>
      </c>
      <c r="AB8" s="279">
        <f>'1. ЦСП'!O28</f>
        <v>12.9</v>
      </c>
      <c r="AC8" s="279">
        <f>'1. ЦСП'!P28</f>
        <v>24.3</v>
      </c>
      <c r="AD8" s="279">
        <f>'1. ЦСП'!Q28</f>
        <v>722.2</v>
      </c>
      <c r="AE8" s="279">
        <f>'1. ЦСП'!R28</f>
        <v>1073.5999999999999</v>
      </c>
      <c r="AF8" s="279">
        <f>'1. ЦСП'!G28</f>
        <v>1325.2</v>
      </c>
      <c r="AG8" s="279">
        <f>'1. ЦСП'!H28</f>
        <v>1152.2</v>
      </c>
      <c r="AH8" s="279">
        <f>'1. ЦСП'!I28</f>
        <v>8.6</v>
      </c>
      <c r="AI8" s="279">
        <f>'1. ЦСП'!J28</f>
        <v>30.1</v>
      </c>
      <c r="AJ8" s="279">
        <f>'1. ЦСП'!K28</f>
        <v>522.20000000000005</v>
      </c>
      <c r="AK8" s="279">
        <f>'1. ЦСП'!L28</f>
        <v>276.39999999999998</v>
      </c>
      <c r="AL8" s="279">
        <f>'1. ЦСП'!M28</f>
        <v>9.1</v>
      </c>
      <c r="AM8" s="279">
        <f>'1. ЦСП'!N28</f>
        <v>49.4</v>
      </c>
      <c r="AN8" s="279">
        <f>'1. ЦСП'!O28</f>
        <v>12.9</v>
      </c>
      <c r="AO8" s="279">
        <f>'1. ЦСП'!P28</f>
        <v>24.3</v>
      </c>
      <c r="AP8" s="279">
        <f>'1. ЦСП'!Q28</f>
        <v>722.2</v>
      </c>
      <c r="AQ8" s="279">
        <f>'1. ЦСП'!R28</f>
        <v>1073.5999999999999</v>
      </c>
      <c r="AR8" s="279">
        <f>'1. ЦСП'!G28</f>
        <v>1325.2</v>
      </c>
      <c r="AS8" s="279">
        <f>'1. ЦСП'!H28</f>
        <v>1152.2</v>
      </c>
      <c r="AT8" s="279">
        <f>'1. ЦСП'!I28</f>
        <v>8.6</v>
      </c>
      <c r="AU8" s="279">
        <f>'1. ЦСП'!J28</f>
        <v>30.1</v>
      </c>
      <c r="AV8" s="279">
        <f>'1. ЦСП'!K28</f>
        <v>522.20000000000005</v>
      </c>
      <c r="AW8" s="279">
        <f>'1. ЦСП'!L28</f>
        <v>276.39999999999998</v>
      </c>
      <c r="AX8" s="279">
        <f>'1. ЦСП'!M28</f>
        <v>9.1</v>
      </c>
      <c r="AY8" s="279">
        <f>'1. ЦСП'!N28</f>
        <v>49.4</v>
      </c>
      <c r="AZ8" s="279">
        <f>'1. ЦСП'!O28</f>
        <v>12.9</v>
      </c>
      <c r="BA8" s="279">
        <f>'1. ЦСП'!P28</f>
        <v>24.3</v>
      </c>
      <c r="BB8" s="279">
        <f>'1. ЦСП'!Q28</f>
        <v>722.2</v>
      </c>
      <c r="BC8" s="279">
        <f>'1. ЦСП'!R28</f>
        <v>1073.5999999999999</v>
      </c>
      <c r="BD8" s="279">
        <f>'1. ЦСП'!G28</f>
        <v>1325.2</v>
      </c>
      <c r="BE8" s="279">
        <f>'1. ЦСП'!H28</f>
        <v>1152.2</v>
      </c>
      <c r="BF8" s="279">
        <f>'1. ЦСП'!I28</f>
        <v>8.6</v>
      </c>
      <c r="BG8" s="279">
        <f>'1. ЦСП'!J28</f>
        <v>30.1</v>
      </c>
      <c r="BH8" s="279">
        <f>'1. ЦСП'!K28</f>
        <v>522.20000000000005</v>
      </c>
      <c r="BI8" s="279">
        <f>'1. ЦСП'!L28</f>
        <v>276.39999999999998</v>
      </c>
      <c r="BJ8" s="279">
        <f>'1. ЦСП'!M28</f>
        <v>9.1</v>
      </c>
      <c r="BK8" s="279">
        <f>'1. ЦСП'!N28</f>
        <v>49.4</v>
      </c>
      <c r="BL8" s="279">
        <f>'1. ЦСП'!O28</f>
        <v>12.9</v>
      </c>
      <c r="BM8" s="279">
        <f>'1. ЦСП'!P28</f>
        <v>24.3</v>
      </c>
      <c r="BN8" s="279">
        <f>'1. ЦСП'!Q28</f>
        <v>722.2</v>
      </c>
      <c r="BO8" s="279">
        <f>'1. ЦСП'!R28</f>
        <v>1073.5999999999999</v>
      </c>
      <c r="BP8" s="279">
        <f>'1. ЦСП'!G28</f>
        <v>1325.2</v>
      </c>
      <c r="BQ8" s="279">
        <f>'1. ЦСП'!H28</f>
        <v>1152.2</v>
      </c>
      <c r="BR8" s="279">
        <f>'1. ЦСП'!I28</f>
        <v>8.6</v>
      </c>
      <c r="BS8" s="279">
        <f>'1. ЦСП'!J28</f>
        <v>30.1</v>
      </c>
      <c r="BT8" s="279">
        <f>'1. ЦСП'!K28</f>
        <v>522.20000000000005</v>
      </c>
      <c r="BU8" s="279">
        <f>'1. ЦСП'!L28</f>
        <v>276.39999999999998</v>
      </c>
      <c r="BV8" s="279">
        <f>'1. ЦСП'!M28</f>
        <v>9.1</v>
      </c>
      <c r="BW8" s="279">
        <f>'1. ЦСП'!N28</f>
        <v>49.4</v>
      </c>
      <c r="BX8" s="279">
        <f>'1. ЦСП'!O28</f>
        <v>12.9</v>
      </c>
      <c r="BY8" s="279">
        <f>'1. ЦСП'!P28</f>
        <v>24.3</v>
      </c>
      <c r="BZ8" s="279">
        <f>'1. ЦСП'!Q28</f>
        <v>722.2</v>
      </c>
      <c r="CA8" s="279">
        <f>'1. ЦСП'!R28</f>
        <v>1073.5999999999999</v>
      </c>
    </row>
    <row r="9" spans="1:79" x14ac:dyDescent="0.25">
      <c r="A9" t="s">
        <v>328</v>
      </c>
      <c r="B9" t="str">
        <f>'1. ЦСП'!$A$28</f>
        <v xml:space="preserve">Организация мероприятий по подготовке спортивных сборных команд. </v>
      </c>
      <c r="D9" t="str">
        <f>'1. ЦСП'!$B$30</f>
        <v>Проезд членов спортивных сборных команд до места проведения тренировочных мероприятий</v>
      </c>
      <c r="E9" s="280">
        <f>'1. ЦСП'!D31</f>
        <v>21850</v>
      </c>
      <c r="F9" s="280">
        <f>'1. ЦСП'!E31</f>
        <v>21850</v>
      </c>
      <c r="G9" s="280">
        <f>'1. ЦСП'!F31</f>
        <v>21850</v>
      </c>
      <c r="H9" s="279">
        <f>'1. ЦСП'!G30</f>
        <v>0</v>
      </c>
      <c r="I9" s="279">
        <f>'1. ЦСП'!H30</f>
        <v>0</v>
      </c>
      <c r="J9" s="279">
        <f>'1. ЦСП'!I30</f>
        <v>0</v>
      </c>
      <c r="K9" s="279">
        <f>'1. ЦСП'!J30</f>
        <v>20000</v>
      </c>
      <c r="L9" s="279">
        <f>'1. ЦСП'!K30</f>
        <v>0</v>
      </c>
      <c r="M9" s="279">
        <f>'1. ЦСП'!L30</f>
        <v>0</v>
      </c>
      <c r="N9" s="279">
        <f>'1. ЦСП'!M30</f>
        <v>0</v>
      </c>
      <c r="O9" s="279">
        <f>'1. ЦСП'!N30</f>
        <v>0</v>
      </c>
      <c r="P9" s="279">
        <f>'1. ЦСП'!O30</f>
        <v>0</v>
      </c>
      <c r="Q9" s="279">
        <f>'1. ЦСП'!P30</f>
        <v>0</v>
      </c>
      <c r="R9" s="279">
        <f>'1. ЦСП'!Q30</f>
        <v>0</v>
      </c>
      <c r="S9" s="279">
        <f>'1. ЦСП'!R30</f>
        <v>0</v>
      </c>
      <c r="T9" s="279">
        <f>'1. ЦСП'!G31</f>
        <v>0</v>
      </c>
      <c r="U9" s="279">
        <f>'1. ЦСП'!H31</f>
        <v>0</v>
      </c>
      <c r="V9" s="279">
        <f>'1. ЦСП'!I31</f>
        <v>0</v>
      </c>
      <c r="W9" s="279">
        <f>'1. ЦСП'!J31</f>
        <v>437000</v>
      </c>
      <c r="X9" s="279">
        <f>'1. ЦСП'!K31</f>
        <v>0</v>
      </c>
      <c r="Y9" s="279">
        <f>'1. ЦСП'!L31</f>
        <v>0</v>
      </c>
      <c r="Z9" s="279">
        <f>'1. ЦСП'!M31</f>
        <v>0</v>
      </c>
      <c r="AA9" s="279">
        <f>'1. ЦСП'!N31</f>
        <v>0</v>
      </c>
      <c r="AB9" s="279">
        <f>'1. ЦСП'!O31</f>
        <v>0</v>
      </c>
      <c r="AC9" s="279">
        <f>'1. ЦСП'!P31</f>
        <v>0</v>
      </c>
      <c r="AD9" s="279">
        <f>'1. ЦСП'!Q31</f>
        <v>0</v>
      </c>
      <c r="AE9" s="279">
        <f>'1. ЦСП'!R31</f>
        <v>0</v>
      </c>
      <c r="AF9" s="279">
        <f>'1. ЦСП'!G31</f>
        <v>0</v>
      </c>
      <c r="AG9" s="279">
        <f>'1. ЦСП'!H31</f>
        <v>0</v>
      </c>
      <c r="AH9" s="279">
        <f>'1. ЦСП'!I31</f>
        <v>0</v>
      </c>
      <c r="AI9" s="279">
        <f>'1. ЦСП'!J31</f>
        <v>437000</v>
      </c>
      <c r="AJ9" s="279">
        <f>'1. ЦСП'!K31</f>
        <v>0</v>
      </c>
      <c r="AK9" s="279">
        <f>'1. ЦСП'!L31</f>
        <v>0</v>
      </c>
      <c r="AL9" s="279">
        <f>'1. ЦСП'!M31</f>
        <v>0</v>
      </c>
      <c r="AM9" s="279">
        <f>'1. ЦСП'!N31</f>
        <v>0</v>
      </c>
      <c r="AN9" s="279">
        <f>'1. ЦСП'!O31</f>
        <v>0</v>
      </c>
      <c r="AO9" s="279">
        <f>'1. ЦСП'!P31</f>
        <v>0</v>
      </c>
      <c r="AP9" s="279">
        <f>'1. ЦСП'!Q31</f>
        <v>0</v>
      </c>
      <c r="AQ9" s="279">
        <f>'1. ЦСП'!R31</f>
        <v>0</v>
      </c>
      <c r="AR9" s="279">
        <f>'1. ЦСП'!G31</f>
        <v>0</v>
      </c>
      <c r="AS9" s="279">
        <f>'1. ЦСП'!H31</f>
        <v>0</v>
      </c>
      <c r="AT9" s="279">
        <f>'1. ЦСП'!I31</f>
        <v>0</v>
      </c>
      <c r="AU9" s="279">
        <f>'1. ЦСП'!J31</f>
        <v>437000</v>
      </c>
      <c r="AV9" s="279">
        <f>'1. ЦСП'!K31</f>
        <v>0</v>
      </c>
      <c r="AW9" s="279">
        <f>'1. ЦСП'!L31</f>
        <v>0</v>
      </c>
      <c r="AX9" s="279">
        <f>'1. ЦСП'!M31</f>
        <v>0</v>
      </c>
      <c r="AY9" s="279">
        <f>'1. ЦСП'!N31</f>
        <v>0</v>
      </c>
      <c r="AZ9" s="279">
        <f>'1. ЦСП'!O31</f>
        <v>0</v>
      </c>
      <c r="BA9" s="279">
        <f>'1. ЦСП'!P31</f>
        <v>0</v>
      </c>
      <c r="BB9" s="279">
        <f>'1. ЦСП'!Q31</f>
        <v>0</v>
      </c>
      <c r="BC9" s="279">
        <f>'1. ЦСП'!R31</f>
        <v>0</v>
      </c>
      <c r="BD9" s="279">
        <f>'1. ЦСП'!G30</f>
        <v>0</v>
      </c>
      <c r="BE9" s="279">
        <f>'1. ЦСП'!H30</f>
        <v>0</v>
      </c>
      <c r="BF9" s="279">
        <f>'1. ЦСП'!I30</f>
        <v>0</v>
      </c>
      <c r="BG9" s="279">
        <f>'1. ЦСП'!J30</f>
        <v>20000</v>
      </c>
      <c r="BH9" s="279">
        <f>'1. ЦСП'!K30</f>
        <v>0</v>
      </c>
      <c r="BI9" s="279">
        <f>'1. ЦСП'!L30</f>
        <v>0</v>
      </c>
      <c r="BJ9" s="279">
        <f>'1. ЦСП'!M30</f>
        <v>0</v>
      </c>
      <c r="BK9" s="279">
        <f>'1. ЦСП'!N30</f>
        <v>0</v>
      </c>
      <c r="BL9" s="279">
        <f>'1. ЦСП'!O30</f>
        <v>0</v>
      </c>
      <c r="BM9" s="279">
        <f>'1. ЦСП'!P30</f>
        <v>0</v>
      </c>
      <c r="BN9" s="279">
        <f>'1. ЦСП'!Q30</f>
        <v>0</v>
      </c>
      <c r="BO9" s="279">
        <f>'1. ЦСП'!R30</f>
        <v>0</v>
      </c>
      <c r="BP9" s="279">
        <f>'1. ЦСП'!G30</f>
        <v>0</v>
      </c>
      <c r="BQ9" s="279">
        <f>'1. ЦСП'!H30</f>
        <v>0</v>
      </c>
      <c r="BR9" s="279">
        <f>'1. ЦСП'!I30</f>
        <v>0</v>
      </c>
      <c r="BS9" s="279">
        <f>'1. ЦСП'!J30</f>
        <v>20000</v>
      </c>
      <c r="BT9" s="279">
        <f>'1. ЦСП'!K30</f>
        <v>0</v>
      </c>
      <c r="BU9" s="279">
        <f>'1. ЦСП'!L30</f>
        <v>0</v>
      </c>
      <c r="BV9" s="279">
        <f>'1. ЦСП'!M30</f>
        <v>0</v>
      </c>
      <c r="BW9" s="279">
        <f>'1. ЦСП'!N30</f>
        <v>0</v>
      </c>
      <c r="BX9" s="279">
        <f>'1. ЦСП'!O30</f>
        <v>0</v>
      </c>
      <c r="BY9" s="279">
        <f>'1. ЦСП'!P30</f>
        <v>0</v>
      </c>
      <c r="BZ9" s="279">
        <f>'1. ЦСП'!Q30</f>
        <v>0</v>
      </c>
      <c r="CA9" s="279">
        <f>'1. ЦСП'!R30</f>
        <v>0</v>
      </c>
    </row>
    <row r="10" spans="1:79" ht="18.75" customHeight="1" x14ac:dyDescent="0.25">
      <c r="A10" t="s">
        <v>328</v>
      </c>
      <c r="B10" t="str">
        <f>'1. ЦСП'!$A$28</f>
        <v xml:space="preserve">Организация мероприятий по подготовке спортивных сборных команд. </v>
      </c>
      <c r="D10" t="str">
        <f>'1. ЦСП'!$B$32</f>
        <v>Материально-техническое обеспечение спортивных сборных команд Российской Федерации в части обеспечения спортивной экипировкой (общего назначения)</v>
      </c>
      <c r="E10" s="280">
        <f>'1. ЦСП'!D33</f>
        <v>7175</v>
      </c>
      <c r="F10" s="280">
        <f>'1. ЦСП'!E34</f>
        <v>7175</v>
      </c>
      <c r="G10" s="280">
        <f>'1. ЦСП'!F35</f>
        <v>7175</v>
      </c>
      <c r="H10" s="279">
        <f>'1. ЦСП'!G32</f>
        <v>0</v>
      </c>
      <c r="I10" s="279">
        <f>'1. ЦСП'!H32</f>
        <v>109480</v>
      </c>
      <c r="J10" s="279">
        <f>'1. ЦСП'!I32</f>
        <v>0</v>
      </c>
      <c r="K10" s="279">
        <f>'1. ЦСП'!J32</f>
        <v>0</v>
      </c>
      <c r="L10" s="279">
        <f>'1. ЦСП'!K32</f>
        <v>0</v>
      </c>
      <c r="M10" s="279">
        <f>'1. ЦСП'!L32</f>
        <v>0</v>
      </c>
      <c r="N10" s="279">
        <f>'1. ЦСП'!M32</f>
        <v>0</v>
      </c>
      <c r="O10" s="279">
        <f>'1. ЦСП'!N32</f>
        <v>0</v>
      </c>
      <c r="P10" s="279">
        <f>'1. ЦСП'!O32</f>
        <v>0</v>
      </c>
      <c r="Q10" s="279">
        <f>'1. ЦСП'!P32</f>
        <v>0</v>
      </c>
      <c r="R10" s="279">
        <f>'1. ЦСП'!Q32</f>
        <v>0</v>
      </c>
      <c r="S10" s="279">
        <f>'1. ЦСП'!R32</f>
        <v>0</v>
      </c>
      <c r="T10" s="279">
        <f>'1. ЦСП'!G33</f>
        <v>0</v>
      </c>
      <c r="U10" s="279">
        <f>'1. ЦСП'!H33</f>
        <v>785519</v>
      </c>
      <c r="V10" s="279">
        <f>'1. ЦСП'!I33</f>
        <v>0</v>
      </c>
      <c r="W10" s="279">
        <f>'1. ЦСП'!J33</f>
        <v>0</v>
      </c>
      <c r="X10" s="279">
        <f>'1. ЦСП'!K33</f>
        <v>0</v>
      </c>
      <c r="Y10" s="279">
        <f>'1. ЦСП'!L33</f>
        <v>0</v>
      </c>
      <c r="Z10" s="279">
        <f>'1. ЦСП'!M33</f>
        <v>0</v>
      </c>
      <c r="AA10" s="279">
        <f>'1. ЦСП'!N33</f>
        <v>0</v>
      </c>
      <c r="AB10" s="279">
        <f>'1. ЦСП'!O33</f>
        <v>0</v>
      </c>
      <c r="AC10" s="279">
        <f>'1. ЦСП'!P33</f>
        <v>0</v>
      </c>
      <c r="AD10" s="279">
        <f>'1. ЦСП'!Q33</f>
        <v>0</v>
      </c>
      <c r="AE10" s="279">
        <f>'1. ЦСП'!R33</f>
        <v>0</v>
      </c>
      <c r="AF10" s="279">
        <f>'1. ЦСП'!G34</f>
        <v>0</v>
      </c>
      <c r="AG10" s="279">
        <f>'1. ЦСП'!H34</f>
        <v>785519</v>
      </c>
      <c r="AH10" s="279">
        <f>'1. ЦСП'!I34</f>
        <v>0</v>
      </c>
      <c r="AI10" s="279">
        <f>'1. ЦСП'!J34</f>
        <v>0</v>
      </c>
      <c r="AJ10" s="279">
        <f>'1. ЦСП'!K34</f>
        <v>0</v>
      </c>
      <c r="AK10" s="279">
        <f>'1. ЦСП'!L34</f>
        <v>0</v>
      </c>
      <c r="AL10" s="279">
        <f>'1. ЦСП'!M34</f>
        <v>0</v>
      </c>
      <c r="AM10" s="279">
        <f>'1. ЦСП'!N34</f>
        <v>0</v>
      </c>
      <c r="AN10" s="279">
        <f>'1. ЦСП'!O34</f>
        <v>0</v>
      </c>
      <c r="AO10" s="279">
        <f>'1. ЦСП'!P34</f>
        <v>0</v>
      </c>
      <c r="AP10" s="279">
        <f>'1. ЦСП'!Q34</f>
        <v>0</v>
      </c>
      <c r="AQ10" s="279">
        <f>'1. ЦСП'!R34</f>
        <v>0</v>
      </c>
      <c r="AR10" s="279">
        <f>'1. ЦСП'!G35</f>
        <v>0</v>
      </c>
      <c r="AS10" s="279">
        <f>'1. ЦСП'!H35</f>
        <v>785519</v>
      </c>
      <c r="AT10" s="279">
        <f>'1. ЦСП'!I35</f>
        <v>0</v>
      </c>
      <c r="AU10" s="279">
        <f>'1. ЦСП'!J35</f>
        <v>0</v>
      </c>
      <c r="AV10" s="279">
        <f>'1. ЦСП'!K35</f>
        <v>0</v>
      </c>
      <c r="AW10" s="279">
        <f>'1. ЦСП'!L35</f>
        <v>0</v>
      </c>
      <c r="AX10" s="279">
        <f>'1. ЦСП'!M35</f>
        <v>0</v>
      </c>
      <c r="AY10" s="279">
        <f>'1. ЦСП'!N35</f>
        <v>0</v>
      </c>
      <c r="AZ10" s="279">
        <f>'1. ЦСП'!O35</f>
        <v>0</v>
      </c>
      <c r="BA10" s="279">
        <f>'1. ЦСП'!P35</f>
        <v>0</v>
      </c>
      <c r="BB10" s="279">
        <f>'1. ЦСП'!Q35</f>
        <v>0</v>
      </c>
      <c r="BC10" s="279">
        <f>'1. ЦСП'!R35</f>
        <v>0</v>
      </c>
      <c r="BD10" s="279">
        <f>'1. ЦСП'!G32</f>
        <v>0</v>
      </c>
      <c r="BE10" s="279">
        <f>'1. ЦСП'!H32</f>
        <v>109480</v>
      </c>
      <c r="BF10" s="279">
        <f>'1. ЦСП'!I32</f>
        <v>0</v>
      </c>
      <c r="BG10" s="279">
        <f>'1. ЦСП'!J32</f>
        <v>0</v>
      </c>
      <c r="BH10" s="279">
        <f>'1. ЦСП'!K32</f>
        <v>0</v>
      </c>
      <c r="BI10" s="279">
        <f>'1. ЦСП'!L32</f>
        <v>0</v>
      </c>
      <c r="BJ10" s="279">
        <f>'1. ЦСП'!M32</f>
        <v>0</v>
      </c>
      <c r="BK10" s="279">
        <f>'1. ЦСП'!N32</f>
        <v>0</v>
      </c>
      <c r="BL10" s="279">
        <f>'1. ЦСП'!O32</f>
        <v>0</v>
      </c>
      <c r="BM10" s="279">
        <f>'1. ЦСП'!P32</f>
        <v>0</v>
      </c>
      <c r="BN10" s="279">
        <f>'1. ЦСП'!Q32</f>
        <v>0</v>
      </c>
      <c r="BO10" s="279">
        <f>'1. ЦСП'!R32</f>
        <v>0</v>
      </c>
      <c r="BP10" s="279">
        <f>'1. ЦСП'!G32</f>
        <v>0</v>
      </c>
      <c r="BQ10" s="279">
        <f>'1. ЦСП'!H32</f>
        <v>109480</v>
      </c>
      <c r="BR10" s="279">
        <f>'1. ЦСП'!I32</f>
        <v>0</v>
      </c>
      <c r="BS10" s="279">
        <f>'1. ЦСП'!J32</f>
        <v>0</v>
      </c>
      <c r="BT10" s="279">
        <f>'1. ЦСП'!K32</f>
        <v>0</v>
      </c>
      <c r="BU10" s="279">
        <f>'1. ЦСП'!L32</f>
        <v>0</v>
      </c>
      <c r="BV10" s="279">
        <f>'1. ЦСП'!M32</f>
        <v>0</v>
      </c>
      <c r="BW10" s="279">
        <f>'1. ЦСП'!N32</f>
        <v>0</v>
      </c>
      <c r="BX10" s="279">
        <f>'1. ЦСП'!O32</f>
        <v>0</v>
      </c>
      <c r="BY10" s="279">
        <f>'1. ЦСП'!P32</f>
        <v>0</v>
      </c>
      <c r="BZ10" s="279">
        <f>'1. ЦСП'!Q32</f>
        <v>0</v>
      </c>
      <c r="CA10" s="279">
        <f>'1. ЦСП'!R32</f>
        <v>0</v>
      </c>
    </row>
    <row r="11" spans="1:79" x14ac:dyDescent="0.25">
      <c r="A11" t="s">
        <v>328</v>
      </c>
      <c r="B11" t="str">
        <f>'1. ЦСП'!$A$28</f>
        <v xml:space="preserve">Организация мероприятий по подготовке спортивных сборных команд. </v>
      </c>
      <c r="D11" t="str">
        <f>'1. ЦСП'!$B$38</f>
        <v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v>
      </c>
      <c r="E11" s="280">
        <f>'1. ЦСП'!D39</f>
        <v>4</v>
      </c>
      <c r="F11" s="280">
        <f>'1. ЦСП'!E39</f>
        <v>4</v>
      </c>
      <c r="G11" s="280">
        <f>'1. ЦСП'!F39</f>
        <v>4</v>
      </c>
      <c r="H11" s="279">
        <f>'1. ЦСП'!G38</f>
        <v>0</v>
      </c>
      <c r="I11" s="279">
        <f>'1. ЦСП'!H38</f>
        <v>0</v>
      </c>
      <c r="J11" s="279">
        <f>'1. ЦСП'!I38</f>
        <v>0</v>
      </c>
      <c r="K11" s="279">
        <f>'1. ЦСП'!J38</f>
        <v>0</v>
      </c>
      <c r="L11" s="279">
        <f>'1. ЦСП'!K38</f>
        <v>0</v>
      </c>
      <c r="M11" s="279">
        <f>'1. ЦСП'!L38</f>
        <v>0</v>
      </c>
      <c r="N11" s="279">
        <f>'1. ЦСП'!M38</f>
        <v>0</v>
      </c>
      <c r="O11" s="279">
        <f>'1. ЦСП'!N38</f>
        <v>0</v>
      </c>
      <c r="P11" s="279">
        <f>'1. ЦСП'!O38</f>
        <v>0</v>
      </c>
      <c r="Q11" s="279">
        <f>'1. ЦСП'!P38</f>
        <v>0</v>
      </c>
      <c r="R11" s="279">
        <f>'1. ЦСП'!Q38</f>
        <v>0</v>
      </c>
      <c r="S11" s="279">
        <f>'1. ЦСП'!R38</f>
        <v>0</v>
      </c>
      <c r="T11" s="279">
        <f>'1. ЦСП'!H39</f>
        <v>36021.4</v>
      </c>
      <c r="U11" s="279">
        <f>'1. ЦСП'!I39</f>
        <v>0</v>
      </c>
      <c r="V11" s="279">
        <f>'1. ЦСП'!J39</f>
        <v>0</v>
      </c>
      <c r="W11" s="279">
        <f>'1. ЦСП'!K39</f>
        <v>0</v>
      </c>
      <c r="X11" s="279">
        <f>'1. ЦСП'!L39</f>
        <v>0</v>
      </c>
      <c r="Y11" s="279">
        <f>'1. ЦСП'!M39</f>
        <v>0</v>
      </c>
      <c r="Z11" s="279">
        <f>'1. ЦСП'!N39</f>
        <v>0</v>
      </c>
      <c r="AA11" s="279">
        <f>'1. ЦСП'!O39</f>
        <v>0</v>
      </c>
      <c r="AB11" s="279">
        <f>'1. ЦСП'!P39</f>
        <v>0</v>
      </c>
      <c r="AC11" s="279">
        <f>'1. ЦСП'!Q39</f>
        <v>0</v>
      </c>
      <c r="AD11" s="279">
        <f>'1. ЦСП'!R39</f>
        <v>0</v>
      </c>
      <c r="AE11" s="279">
        <f>'1. ЦСП'!S39</f>
        <v>36021.4</v>
      </c>
      <c r="AF11" s="279">
        <f>'1. ЦСП'!H39</f>
        <v>36021.4</v>
      </c>
      <c r="AG11" s="279">
        <f>'1. ЦСП'!I39</f>
        <v>0</v>
      </c>
      <c r="AH11" s="279">
        <f>'1. ЦСП'!J39</f>
        <v>0</v>
      </c>
      <c r="AI11" s="279">
        <f>'1. ЦСП'!K39</f>
        <v>0</v>
      </c>
      <c r="AJ11" s="279">
        <f>'1. ЦСП'!L39</f>
        <v>0</v>
      </c>
      <c r="AK11" s="279">
        <f>'1. ЦСП'!M39</f>
        <v>0</v>
      </c>
      <c r="AL11" s="279">
        <f>'1. ЦСП'!N39</f>
        <v>0</v>
      </c>
      <c r="AM11" s="279">
        <f>'1. ЦСП'!O39</f>
        <v>0</v>
      </c>
      <c r="AN11" s="279">
        <f>'1. ЦСП'!P39</f>
        <v>0</v>
      </c>
      <c r="AO11" s="279">
        <f>'1. ЦСП'!Q39</f>
        <v>0</v>
      </c>
      <c r="AP11" s="279">
        <f>'1. ЦСП'!R39</f>
        <v>0</v>
      </c>
      <c r="AQ11" s="279">
        <f>'1. ЦСП'!S39</f>
        <v>36021.4</v>
      </c>
      <c r="AR11" s="279">
        <f>'1. ЦСП'!H39</f>
        <v>36021.4</v>
      </c>
      <c r="AS11" s="279">
        <f>'1. ЦСП'!I39</f>
        <v>0</v>
      </c>
      <c r="AT11" s="279">
        <f>'1. ЦСП'!J39</f>
        <v>0</v>
      </c>
      <c r="AU11" s="279">
        <f>'1. ЦСП'!K39</f>
        <v>0</v>
      </c>
      <c r="AV11" s="279">
        <f>'1. ЦСП'!L39</f>
        <v>0</v>
      </c>
      <c r="AW11" s="279">
        <f>'1. ЦСП'!M39</f>
        <v>0</v>
      </c>
      <c r="AX11" s="279">
        <f>'1. ЦСП'!N39</f>
        <v>0</v>
      </c>
      <c r="AY11" s="279">
        <f>'1. ЦСП'!O39</f>
        <v>0</v>
      </c>
      <c r="AZ11" s="279">
        <f>'1. ЦСП'!P39</f>
        <v>0</v>
      </c>
      <c r="BA11" s="279">
        <f>'1. ЦСП'!Q39</f>
        <v>0</v>
      </c>
      <c r="BB11" s="279">
        <f>'1. ЦСП'!R39</f>
        <v>0</v>
      </c>
      <c r="BC11" s="279">
        <f>'1. ЦСП'!S39</f>
        <v>36021.4</v>
      </c>
      <c r="BD11" s="279">
        <f>'1. ЦСП'!G38</f>
        <v>0</v>
      </c>
      <c r="BE11" s="279">
        <f>'1. ЦСП'!H38</f>
        <v>0</v>
      </c>
      <c r="BF11" s="279">
        <f>'1. ЦСП'!I38</f>
        <v>0</v>
      </c>
      <c r="BG11" s="279">
        <f>'1. ЦСП'!J38</f>
        <v>0</v>
      </c>
      <c r="BH11" s="279">
        <f>'1. ЦСП'!K38</f>
        <v>0</v>
      </c>
      <c r="BI11" s="279">
        <f>'1. ЦСП'!L38</f>
        <v>0</v>
      </c>
      <c r="BJ11" s="279">
        <f>'1. ЦСП'!M38</f>
        <v>0</v>
      </c>
      <c r="BK11" s="279">
        <f>'1. ЦСП'!N38</f>
        <v>0</v>
      </c>
      <c r="BL11" s="279">
        <f>'1. ЦСП'!O38</f>
        <v>0</v>
      </c>
      <c r="BM11" s="279">
        <f>'1. ЦСП'!P38</f>
        <v>0</v>
      </c>
      <c r="BN11" s="279">
        <f>'1. ЦСП'!Q38</f>
        <v>0</v>
      </c>
      <c r="BO11" s="279">
        <f>'1. ЦСП'!R38</f>
        <v>0</v>
      </c>
      <c r="BP11" s="279">
        <f>'1. ЦСП'!G38</f>
        <v>0</v>
      </c>
      <c r="BQ11" s="279">
        <f>'1. ЦСП'!H38</f>
        <v>0</v>
      </c>
      <c r="BR11" s="279">
        <f>'1. ЦСП'!I38</f>
        <v>0</v>
      </c>
      <c r="BS11" s="279">
        <f>'1. ЦСП'!J38</f>
        <v>0</v>
      </c>
      <c r="BT11" s="279">
        <f>'1. ЦСП'!K38</f>
        <v>0</v>
      </c>
      <c r="BU11" s="279">
        <f>'1. ЦСП'!L38</f>
        <v>0</v>
      </c>
      <c r="BV11" s="279">
        <f>'1. ЦСП'!M38</f>
        <v>0</v>
      </c>
      <c r="BW11" s="279">
        <f>'1. ЦСП'!N38</f>
        <v>0</v>
      </c>
      <c r="BX11" s="279">
        <f>'1. ЦСП'!O38</f>
        <v>0</v>
      </c>
      <c r="BY11" s="279">
        <f>'1. ЦСП'!P38</f>
        <v>0</v>
      </c>
      <c r="BZ11" s="279">
        <f>'1. ЦСП'!Q38</f>
        <v>0</v>
      </c>
      <c r="CA11" s="279">
        <f>'1. ЦСП'!R38</f>
        <v>0</v>
      </c>
    </row>
    <row r="12" spans="1:79" x14ac:dyDescent="0.25">
      <c r="A12" t="s">
        <v>328</v>
      </c>
      <c r="B12" t="str">
        <f>'1. ЦСП'!$A$28</f>
        <v xml:space="preserve">Организация мероприятий по подготовке спортивных сборных команд. </v>
      </c>
      <c r="D12" t="str">
        <f>'1. ЦСП'!$B$44</f>
        <v>Заработная плата членов спортивных сборных команд Российской Федерации</v>
      </c>
      <c r="E12" s="280">
        <f>'1. ЦСП'!D45</f>
        <v>3600</v>
      </c>
      <c r="F12" s="280">
        <f>'1. ЦСП'!E45</f>
        <v>3600</v>
      </c>
      <c r="G12" s="280">
        <f>'1. ЦСП'!F45</f>
        <v>3600</v>
      </c>
      <c r="H12" s="279">
        <f>'1. ЦСП'!G44</f>
        <v>1163720</v>
      </c>
      <c r="I12" s="279">
        <f>'1. ЦСП'!H44</f>
        <v>0</v>
      </c>
      <c r="J12" s="279">
        <f>'1. ЦСП'!I44</f>
        <v>0</v>
      </c>
      <c r="K12" s="279">
        <f>'1. ЦСП'!J44</f>
        <v>0</v>
      </c>
      <c r="L12" s="279">
        <f>'1. ЦСП'!K44</f>
        <v>0</v>
      </c>
      <c r="M12" s="279">
        <f>'1. ЦСП'!L44</f>
        <v>0</v>
      </c>
      <c r="N12" s="279">
        <f>'1. ЦСП'!M44</f>
        <v>0</v>
      </c>
      <c r="O12" s="279">
        <f>'1. ЦСП'!N44</f>
        <v>0</v>
      </c>
      <c r="P12" s="279">
        <f>'1. ЦСП'!O44</f>
        <v>0</v>
      </c>
      <c r="Q12" s="279">
        <f>'1. ЦСП'!P44</f>
        <v>0</v>
      </c>
      <c r="R12" s="279">
        <f>'1. ЦСП'!Q44</f>
        <v>0</v>
      </c>
      <c r="S12" s="279">
        <f>'1. ЦСП'!R44</f>
        <v>0</v>
      </c>
      <c r="T12" s="279">
        <f>'1. ЦСП'!G45</f>
        <v>4189392</v>
      </c>
      <c r="U12" s="279">
        <f>'1. ЦСП'!H45</f>
        <v>0</v>
      </c>
      <c r="V12" s="279">
        <f>'1. ЦСП'!I45</f>
        <v>0</v>
      </c>
      <c r="W12" s="279">
        <f>'1. ЦСП'!J45</f>
        <v>0</v>
      </c>
      <c r="X12" s="279">
        <f>'1. ЦСП'!K45</f>
        <v>0</v>
      </c>
      <c r="Y12" s="279">
        <f>'1. ЦСП'!L45</f>
        <v>0</v>
      </c>
      <c r="Z12" s="279">
        <f>'1. ЦСП'!M45</f>
        <v>0</v>
      </c>
      <c r="AA12" s="279">
        <f>'1. ЦСП'!N45</f>
        <v>0</v>
      </c>
      <c r="AB12" s="279">
        <f>'1. ЦСП'!O45</f>
        <v>0</v>
      </c>
      <c r="AC12" s="279">
        <f>'1. ЦСП'!P45</f>
        <v>0</v>
      </c>
      <c r="AD12" s="279">
        <f>'1. ЦСП'!Q45</f>
        <v>0</v>
      </c>
      <c r="AE12" s="279">
        <f>'1. ЦСП'!R45</f>
        <v>0</v>
      </c>
      <c r="AF12" s="279">
        <f>'1. ЦСП'!G45</f>
        <v>4189392</v>
      </c>
      <c r="AG12" s="279">
        <f>'1. ЦСП'!H45</f>
        <v>0</v>
      </c>
      <c r="AH12" s="279">
        <f>'1. ЦСП'!I45</f>
        <v>0</v>
      </c>
      <c r="AI12" s="279">
        <f>'1. ЦСП'!J45</f>
        <v>0</v>
      </c>
      <c r="AJ12" s="279">
        <f>'1. ЦСП'!K45</f>
        <v>0</v>
      </c>
      <c r="AK12" s="279">
        <f>'1. ЦСП'!L45</f>
        <v>0</v>
      </c>
      <c r="AL12" s="279">
        <f>'1. ЦСП'!M45</f>
        <v>0</v>
      </c>
      <c r="AM12" s="279">
        <f>'1. ЦСП'!N45</f>
        <v>0</v>
      </c>
      <c r="AN12" s="279">
        <f>'1. ЦСП'!O45</f>
        <v>0</v>
      </c>
      <c r="AO12" s="279">
        <f>'1. ЦСП'!P45</f>
        <v>0</v>
      </c>
      <c r="AP12" s="279">
        <f>'1. ЦСП'!Q45</f>
        <v>0</v>
      </c>
      <c r="AQ12" s="279">
        <f>'1. ЦСП'!R45</f>
        <v>0</v>
      </c>
      <c r="AR12" s="279">
        <f>'1. ЦСП'!G45</f>
        <v>4189392</v>
      </c>
      <c r="AS12" s="279">
        <f>'1. ЦСП'!H45</f>
        <v>0</v>
      </c>
      <c r="AT12" s="279">
        <f>'1. ЦСП'!I45</f>
        <v>0</v>
      </c>
      <c r="AU12" s="279">
        <f>'1. ЦСП'!J45</f>
        <v>0</v>
      </c>
      <c r="AV12" s="279">
        <f>'1. ЦСП'!K45</f>
        <v>0</v>
      </c>
      <c r="AW12" s="279">
        <f>'1. ЦСП'!L45</f>
        <v>0</v>
      </c>
      <c r="AX12" s="279">
        <f>'1. ЦСП'!M45</f>
        <v>0</v>
      </c>
      <c r="AY12" s="279">
        <f>'1. ЦСП'!N45</f>
        <v>0</v>
      </c>
      <c r="AZ12" s="279">
        <f>'1. ЦСП'!O45</f>
        <v>0</v>
      </c>
      <c r="BA12" s="279">
        <f>'1. ЦСП'!P45</f>
        <v>0</v>
      </c>
      <c r="BB12" s="279">
        <f>'1. ЦСП'!Q45</f>
        <v>0</v>
      </c>
      <c r="BC12" s="279">
        <f>'1. ЦСП'!R45</f>
        <v>0</v>
      </c>
      <c r="BD12" s="279">
        <f>'1. ЦСП'!G44</f>
        <v>1163720</v>
      </c>
      <c r="BE12" s="279">
        <f>'1. ЦСП'!H44</f>
        <v>0</v>
      </c>
      <c r="BF12" s="279">
        <f>'1. ЦСП'!I44</f>
        <v>0</v>
      </c>
      <c r="BG12" s="279">
        <f>'1. ЦСП'!J44</f>
        <v>0</v>
      </c>
      <c r="BH12" s="279">
        <f>'1. ЦСП'!K44</f>
        <v>0</v>
      </c>
      <c r="BI12" s="279">
        <f>'1. ЦСП'!L44</f>
        <v>0</v>
      </c>
      <c r="BJ12" s="279">
        <f>'1. ЦСП'!M44</f>
        <v>0</v>
      </c>
      <c r="BK12" s="279">
        <f>'1. ЦСП'!N44</f>
        <v>0</v>
      </c>
      <c r="BL12" s="279">
        <f>'1. ЦСП'!O44</f>
        <v>0</v>
      </c>
      <c r="BM12" s="279">
        <f>'1. ЦСП'!P44</f>
        <v>0</v>
      </c>
      <c r="BN12" s="279">
        <f>'1. ЦСП'!Q44</f>
        <v>0</v>
      </c>
      <c r="BO12" s="279">
        <f>'1. ЦСП'!R44</f>
        <v>0</v>
      </c>
      <c r="BP12" s="279">
        <f>'1. ЦСП'!G44</f>
        <v>1163720</v>
      </c>
      <c r="BQ12" s="279">
        <f>'1. ЦСП'!H44</f>
        <v>0</v>
      </c>
      <c r="BR12" s="279">
        <f>'1. ЦСП'!I44</f>
        <v>0</v>
      </c>
      <c r="BS12" s="279">
        <f>'1. ЦСП'!J44</f>
        <v>0</v>
      </c>
      <c r="BT12" s="279">
        <f>'1. ЦСП'!K44</f>
        <v>0</v>
      </c>
      <c r="BU12" s="279">
        <f>'1. ЦСП'!L44</f>
        <v>0</v>
      </c>
      <c r="BV12" s="279">
        <f>'1. ЦСП'!M44</f>
        <v>0</v>
      </c>
      <c r="BW12" s="279">
        <f>'1. ЦСП'!N44</f>
        <v>0</v>
      </c>
      <c r="BX12" s="279">
        <f>'1. ЦСП'!O44</f>
        <v>0</v>
      </c>
      <c r="BY12" s="279">
        <f>'1. ЦСП'!P44</f>
        <v>0</v>
      </c>
      <c r="BZ12" s="279">
        <f>'1. ЦСП'!Q44</f>
        <v>0</v>
      </c>
      <c r="CA12" s="279">
        <f>'1. ЦСП'!R44</f>
        <v>0</v>
      </c>
    </row>
    <row r="13" spans="1:79" x14ac:dyDescent="0.25">
      <c r="A13" t="s">
        <v>331</v>
      </c>
      <c r="B13" s="276" t="str">
        <f>'1. ЦСП'!$A$59</f>
        <v>Организация мероприятий по научно-методическому обеспечению спортивных сборных команд.</v>
      </c>
      <c r="D13" s="276" t="str">
        <f>'1. ЦСП'!$B$59</f>
        <v>0000000001100077708  30042100100000000004100103</v>
      </c>
      <c r="E13" s="280">
        <f>'1. ЦСП'!D60</f>
        <v>265</v>
      </c>
      <c r="F13" s="280">
        <f>'1. ЦСП'!E60</f>
        <v>265</v>
      </c>
      <c r="G13" s="280">
        <f>'1. ЦСП'!F60</f>
        <v>265</v>
      </c>
      <c r="H13" s="279">
        <f>'1. ЦСП'!G59</f>
        <v>715867.41</v>
      </c>
      <c r="I13" s="279">
        <f>'1. ЦСП'!H59</f>
        <v>792304.97</v>
      </c>
      <c r="J13" s="279">
        <f>'1. ЦСП'!I59</f>
        <v>571656.15</v>
      </c>
      <c r="K13" s="279">
        <f>'1. ЦСП'!J59</f>
        <v>525554.66999999993</v>
      </c>
      <c r="L13" s="279">
        <f>'1. ЦСП'!K59</f>
        <v>29183.75</v>
      </c>
      <c r="M13" s="279">
        <f>'1. ЦСП'!L59</f>
        <v>933.97</v>
      </c>
      <c r="N13" s="279">
        <f>'1. ЦСП'!M59</f>
        <v>163901.26999999999</v>
      </c>
      <c r="O13" s="279">
        <f>'1. ЦСП'!N59</f>
        <v>6882.45</v>
      </c>
      <c r="P13" s="279">
        <f>'1. ЦСП'!O59</f>
        <v>41158.39</v>
      </c>
      <c r="Q13" s="279">
        <f>'1. ЦСП'!P59</f>
        <v>0</v>
      </c>
      <c r="R13" s="279">
        <f>'1. ЦСП'!Q59</f>
        <v>437770.2</v>
      </c>
      <c r="S13" s="279">
        <f>'1. ЦСП'!R59</f>
        <v>22075.74</v>
      </c>
      <c r="T13" s="279">
        <f>'1. ЦСП'!G60</f>
        <v>189704.9</v>
      </c>
      <c r="U13" s="279">
        <f>'1. ЦСП'!H60</f>
        <v>209960.8</v>
      </c>
      <c r="V13" s="279">
        <f>'1. ЦСП'!I60</f>
        <v>151488.9</v>
      </c>
      <c r="W13" s="279">
        <f>'1. ЦСП'!J60</f>
        <v>139272</v>
      </c>
      <c r="X13" s="279">
        <f>'1. ЦСП'!K60</f>
        <v>7733.7</v>
      </c>
      <c r="Y13" s="279">
        <f>'1. ЦСП'!L60</f>
        <v>247.5</v>
      </c>
      <c r="Z13" s="279">
        <f>'1. ЦСП'!M60</f>
        <v>43433.8</v>
      </c>
      <c r="AA13" s="279">
        <f>'1. ЦСП'!N60</f>
        <v>1823.8</v>
      </c>
      <c r="AB13" s="279">
        <f>'1. ЦСП'!O60</f>
        <v>10907</v>
      </c>
      <c r="AC13" s="279">
        <f>'1. ЦСП'!P60</f>
        <v>0</v>
      </c>
      <c r="AD13" s="279">
        <f>'1. ЦСП'!Q60</f>
        <v>116009.1</v>
      </c>
      <c r="AE13" s="279">
        <f>'1. ЦСП'!R60</f>
        <v>5850.1</v>
      </c>
      <c r="AF13" s="279">
        <f>'1. ЦСП'!G60</f>
        <v>189704.9</v>
      </c>
      <c r="AG13" s="279">
        <f>'1. ЦСП'!H60</f>
        <v>209960.8</v>
      </c>
      <c r="AH13" s="279">
        <f>'1. ЦСП'!I60</f>
        <v>151488.9</v>
      </c>
      <c r="AI13" s="279">
        <f>'1. ЦСП'!J60</f>
        <v>139272</v>
      </c>
      <c r="AJ13" s="279">
        <f>'1. ЦСП'!K60</f>
        <v>7733.7</v>
      </c>
      <c r="AK13" s="279">
        <f>'1. ЦСП'!L60</f>
        <v>247.5</v>
      </c>
      <c r="AL13" s="279">
        <f>'1. ЦСП'!M60</f>
        <v>43433.8</v>
      </c>
      <c r="AM13" s="279">
        <f>'1. ЦСП'!N60</f>
        <v>1823.8</v>
      </c>
      <c r="AN13" s="279">
        <f>'1. ЦСП'!O60</f>
        <v>10907</v>
      </c>
      <c r="AO13" s="279">
        <f>'1. ЦСП'!P60</f>
        <v>0</v>
      </c>
      <c r="AP13" s="279">
        <f>'1. ЦСП'!Q60</f>
        <v>116009.1</v>
      </c>
      <c r="AQ13" s="279">
        <f>'1. ЦСП'!R60</f>
        <v>5850.1</v>
      </c>
      <c r="AR13" s="281">
        <f>'1. ЦСП'!Q60</f>
        <v>116009.1</v>
      </c>
      <c r="AS13" s="281">
        <f>'1. ЦСП'!R60</f>
        <v>5850.1</v>
      </c>
      <c r="AT13" s="281">
        <f>'1. ЦСП'!S60</f>
        <v>876431.6</v>
      </c>
      <c r="AU13" s="281">
        <f>'1. ЦСП'!T60</f>
        <v>0</v>
      </c>
      <c r="AV13" s="281">
        <f>'1. ЦСП'!U60</f>
        <v>0</v>
      </c>
      <c r="AW13" s="281">
        <f>'1. ЦСП'!V60</f>
        <v>0</v>
      </c>
      <c r="AX13" s="281">
        <f>'1. ЦСП'!W60</f>
        <v>0</v>
      </c>
      <c r="AY13" s="281">
        <f>'1. ЦСП'!X60</f>
        <v>0</v>
      </c>
      <c r="AZ13" s="281">
        <f>'1. ЦСП'!Y60</f>
        <v>0</v>
      </c>
      <c r="BA13" s="281">
        <f>'1. ЦСП'!Z60</f>
        <v>0</v>
      </c>
      <c r="BB13" s="281">
        <f>'1. ЦСП'!AA60</f>
        <v>0</v>
      </c>
      <c r="BC13" s="281">
        <f>'1. ЦСП'!AB60</f>
        <v>0</v>
      </c>
      <c r="BD13" s="279">
        <f>'1. ЦСП'!G59</f>
        <v>715867.41</v>
      </c>
      <c r="BE13" s="279">
        <f>'1. ЦСП'!H59</f>
        <v>792304.97</v>
      </c>
      <c r="BF13" s="279">
        <f>'1. ЦСП'!I59</f>
        <v>571656.15</v>
      </c>
      <c r="BG13" s="279">
        <f>'1. ЦСП'!J59</f>
        <v>525554.66999999993</v>
      </c>
      <c r="BH13" s="279">
        <f>'1. ЦСП'!K59</f>
        <v>29183.75</v>
      </c>
      <c r="BI13" s="279">
        <f>'1. ЦСП'!L59</f>
        <v>933.97</v>
      </c>
      <c r="BJ13" s="279">
        <f>'1. ЦСП'!M59</f>
        <v>163901.26999999999</v>
      </c>
      <c r="BK13" s="279">
        <f>'1. ЦСП'!N59</f>
        <v>6882.45</v>
      </c>
      <c r="BL13" s="279">
        <f>'1. ЦСП'!O59</f>
        <v>41158.39</v>
      </c>
      <c r="BM13" s="279">
        <f>'1. ЦСП'!P59</f>
        <v>0</v>
      </c>
      <c r="BN13" s="279">
        <f>'1. ЦСП'!Q59</f>
        <v>437770.2</v>
      </c>
      <c r="BO13" s="279">
        <f>'1. ЦСП'!R59</f>
        <v>22075.74</v>
      </c>
      <c r="BP13" s="279">
        <f>'1. ЦСП'!G59</f>
        <v>715867.41</v>
      </c>
      <c r="BQ13" s="279">
        <f>'1. ЦСП'!H59</f>
        <v>792304.97</v>
      </c>
      <c r="BR13" s="279">
        <f>'1. ЦСП'!I59</f>
        <v>571656.15</v>
      </c>
      <c r="BS13" s="279">
        <f>'1. ЦСП'!J59</f>
        <v>525554.66999999993</v>
      </c>
      <c r="BT13" s="279">
        <f>'1. ЦСП'!K59</f>
        <v>29183.75</v>
      </c>
      <c r="BU13" s="279">
        <f>'1. ЦСП'!L59</f>
        <v>933.97</v>
      </c>
      <c r="BV13" s="279">
        <f>'1. ЦСП'!M59</f>
        <v>163901.26999999999</v>
      </c>
      <c r="BW13" s="279">
        <f>'1. ЦСП'!N59</f>
        <v>6882.45</v>
      </c>
      <c r="BX13" s="279">
        <f>'1. ЦСП'!O59</f>
        <v>41158.39</v>
      </c>
      <c r="BY13" s="279">
        <f>'1. ЦСП'!P59</f>
        <v>0</v>
      </c>
      <c r="BZ13" s="279">
        <f>'1. ЦСП'!Q59</f>
        <v>437770.2</v>
      </c>
      <c r="CA13" s="279">
        <f>'1. ЦСП'!R59</f>
        <v>22075.74</v>
      </c>
    </row>
    <row r="18" spans="3:3" x14ac:dyDescent="0.25">
      <c r="C18" s="278"/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A17"/>
  <sheetViews>
    <sheetView zoomScale="70" zoomScaleNormal="70" workbookViewId="0">
      <selection activeCell="AV46" sqref="AV46"/>
    </sheetView>
  </sheetViews>
  <sheetFormatPr defaultRowHeight="15" x14ac:dyDescent="0.25"/>
  <cols>
    <col min="1" max="1" width="26.5703125" customWidth="1"/>
    <col min="2" max="2" width="19.85546875" customWidth="1"/>
    <col min="3" max="3" width="7" bestFit="1" customWidth="1"/>
    <col min="4" max="4" width="20.28515625" customWidth="1"/>
    <col min="5" max="7" width="9.85546875" bestFit="1" customWidth="1"/>
    <col min="8" max="8" width="13.7109375" bestFit="1" customWidth="1"/>
    <col min="9" max="9" width="12" bestFit="1" customWidth="1"/>
    <col min="10" max="10" width="12.5703125" bestFit="1" customWidth="1"/>
    <col min="11" max="11" width="14.85546875" bestFit="1" customWidth="1"/>
    <col min="12" max="12" width="11.140625" bestFit="1" customWidth="1"/>
    <col min="13" max="13" width="13" bestFit="1" customWidth="1"/>
    <col min="14" max="14" width="16.28515625" bestFit="1" customWidth="1"/>
    <col min="15" max="15" width="12.5703125" bestFit="1" customWidth="1"/>
    <col min="16" max="16" width="11.140625" bestFit="1" customWidth="1"/>
    <col min="17" max="17" width="10.85546875" bestFit="1" customWidth="1"/>
    <col min="18" max="18" width="12.28515625" bestFit="1" customWidth="1"/>
    <col min="19" max="19" width="12.7109375" bestFit="1" customWidth="1"/>
    <col min="20" max="20" width="14" customWidth="1"/>
    <col min="21" max="21" width="14.7109375" bestFit="1" customWidth="1"/>
    <col min="22" max="22" width="15.85546875" bestFit="1" customWidth="1"/>
    <col min="23" max="23" width="16.140625" bestFit="1" customWidth="1"/>
    <col min="24" max="24" width="14.85546875" bestFit="1" customWidth="1"/>
    <col min="25" max="25" width="16.5703125" bestFit="1" customWidth="1"/>
    <col min="26" max="26" width="19.7109375" bestFit="1" customWidth="1"/>
    <col min="27" max="27" width="9.7109375" bestFit="1" customWidth="1"/>
    <col min="28" max="28" width="14.85546875" bestFit="1" customWidth="1"/>
    <col min="29" max="29" width="14.7109375" bestFit="1" customWidth="1"/>
    <col min="30" max="30" width="15.85546875" bestFit="1" customWidth="1"/>
    <col min="31" max="31" width="16.140625" bestFit="1" customWidth="1"/>
    <col min="32" max="32" width="14" customWidth="1"/>
    <col min="33" max="33" width="14.7109375" bestFit="1" customWidth="1"/>
    <col min="34" max="34" width="15.85546875" bestFit="1" customWidth="1"/>
    <col min="35" max="35" width="16.140625" bestFit="1" customWidth="1"/>
    <col min="36" max="36" width="14.85546875" bestFit="1" customWidth="1"/>
    <col min="37" max="37" width="16.5703125" bestFit="1" customWidth="1"/>
    <col min="38" max="38" width="19.7109375" bestFit="1" customWidth="1"/>
    <col min="39" max="39" width="9.7109375" bestFit="1" customWidth="1"/>
    <col min="40" max="40" width="14.85546875" bestFit="1" customWidth="1"/>
    <col min="41" max="41" width="14.7109375" bestFit="1" customWidth="1"/>
    <col min="42" max="42" width="15.85546875" bestFit="1" customWidth="1"/>
    <col min="43" max="43" width="16.140625" bestFit="1" customWidth="1"/>
    <col min="44" max="44" width="14" customWidth="1"/>
    <col min="45" max="45" width="14.7109375" bestFit="1" customWidth="1"/>
    <col min="46" max="46" width="15.85546875" bestFit="1" customWidth="1"/>
    <col min="47" max="47" width="16.140625" bestFit="1" customWidth="1"/>
    <col min="48" max="48" width="14.85546875" bestFit="1" customWidth="1"/>
    <col min="49" max="49" width="16.5703125" bestFit="1" customWidth="1"/>
    <col min="50" max="50" width="19.7109375" bestFit="1" customWidth="1"/>
    <col min="51" max="51" width="8.28515625" bestFit="1" customWidth="1"/>
    <col min="52" max="52" width="14.85546875" bestFit="1" customWidth="1"/>
    <col min="53" max="53" width="14.7109375" bestFit="1" customWidth="1"/>
    <col min="54" max="54" width="15.85546875" bestFit="1" customWidth="1"/>
    <col min="55" max="55" width="16.140625" bestFit="1" customWidth="1"/>
    <col min="56" max="56" width="14.7109375" bestFit="1" customWidth="1"/>
    <col min="57" max="57" width="13.7109375" bestFit="1" customWidth="1"/>
    <col min="58" max="58" width="14.85546875" bestFit="1" customWidth="1"/>
    <col min="59" max="59" width="15.140625" bestFit="1" customWidth="1"/>
    <col min="60" max="60" width="13.42578125" bestFit="1" customWidth="1"/>
    <col min="61" max="61" width="15.42578125" bestFit="1" customWidth="1"/>
    <col min="62" max="62" width="18.7109375" bestFit="1" customWidth="1"/>
    <col min="63" max="63" width="14.85546875" bestFit="1" customWidth="1"/>
    <col min="64" max="64" width="13.42578125" bestFit="1" customWidth="1"/>
    <col min="65" max="65" width="13.28515625" bestFit="1" customWidth="1"/>
    <col min="66" max="66" width="14.7109375" bestFit="1" customWidth="1"/>
    <col min="67" max="67" width="15.140625" bestFit="1" customWidth="1"/>
    <col min="68" max="68" width="14.7109375" bestFit="1" customWidth="1"/>
    <col min="69" max="69" width="13.7109375" bestFit="1" customWidth="1"/>
    <col min="70" max="70" width="14.85546875" bestFit="1" customWidth="1"/>
    <col min="71" max="71" width="15.140625" bestFit="1" customWidth="1"/>
    <col min="72" max="72" width="13.42578125" bestFit="1" customWidth="1"/>
    <col min="73" max="73" width="15.42578125" bestFit="1" customWidth="1"/>
    <col min="74" max="74" width="18.7109375" bestFit="1" customWidth="1"/>
    <col min="75" max="75" width="14.85546875" bestFit="1" customWidth="1"/>
    <col min="76" max="76" width="13.42578125" bestFit="1" customWidth="1"/>
    <col min="77" max="77" width="13.28515625" bestFit="1" customWidth="1"/>
    <col min="78" max="78" width="14.7109375" bestFit="1" customWidth="1"/>
    <col min="79" max="79" width="15.140625" bestFit="1" customWidth="1"/>
  </cols>
  <sheetData>
    <row r="1" spans="1:79" x14ac:dyDescent="0.25">
      <c r="A1" t="s">
        <v>251</v>
      </c>
      <c r="B1" s="276" t="s">
        <v>2</v>
      </c>
      <c r="C1" t="s">
        <v>252</v>
      </c>
      <c r="D1" s="276" t="s">
        <v>3</v>
      </c>
      <c r="E1" t="s">
        <v>253</v>
      </c>
      <c r="F1" t="s">
        <v>254</v>
      </c>
      <c r="G1" t="s">
        <v>255</v>
      </c>
      <c r="H1" s="8" t="s">
        <v>256</v>
      </c>
      <c r="I1" s="8" t="s">
        <v>257</v>
      </c>
      <c r="J1" s="8" t="s">
        <v>258</v>
      </c>
      <c r="K1" s="8" t="s">
        <v>259</v>
      </c>
      <c r="L1" s="8" t="s">
        <v>260</v>
      </c>
      <c r="M1" s="8" t="s">
        <v>261</v>
      </c>
      <c r="N1" s="8" t="s">
        <v>262</v>
      </c>
      <c r="O1" s="8" t="s">
        <v>263</v>
      </c>
      <c r="P1" s="8" t="s">
        <v>264</v>
      </c>
      <c r="Q1" s="8" t="s">
        <v>265</v>
      </c>
      <c r="R1" s="8" t="s">
        <v>266</v>
      </c>
      <c r="S1" s="8" t="s">
        <v>267</v>
      </c>
      <c r="T1" s="282" t="s">
        <v>268</v>
      </c>
      <c r="U1" s="283" t="s">
        <v>271</v>
      </c>
      <c r="V1" s="283" t="s">
        <v>272</v>
      </c>
      <c r="W1" s="283" t="s">
        <v>273</v>
      </c>
      <c r="X1" s="283" t="s">
        <v>274</v>
      </c>
      <c r="Y1" s="283" t="s">
        <v>275</v>
      </c>
      <c r="Z1" s="283" t="s">
        <v>276</v>
      </c>
      <c r="AA1" s="8" t="s">
        <v>277</v>
      </c>
      <c r="AB1" s="282" t="s">
        <v>278</v>
      </c>
      <c r="AC1" s="283" t="s">
        <v>279</v>
      </c>
      <c r="AD1" s="282" t="s">
        <v>280</v>
      </c>
      <c r="AE1" s="283" t="s">
        <v>281</v>
      </c>
      <c r="AF1" s="279" t="s">
        <v>269</v>
      </c>
      <c r="AG1" s="283" t="s">
        <v>282</v>
      </c>
      <c r="AH1" s="283" t="s">
        <v>283</v>
      </c>
      <c r="AI1" s="283" t="s">
        <v>284</v>
      </c>
      <c r="AJ1" s="283" t="s">
        <v>285</v>
      </c>
      <c r="AK1" s="283" t="s">
        <v>286</v>
      </c>
      <c r="AL1" s="283" t="s">
        <v>287</v>
      </c>
      <c r="AM1" s="8" t="s">
        <v>288</v>
      </c>
      <c r="AN1" s="282" t="s">
        <v>289</v>
      </c>
      <c r="AO1" s="283" t="s">
        <v>290</v>
      </c>
      <c r="AP1" s="282" t="s">
        <v>291</v>
      </c>
      <c r="AQ1" s="283" t="s">
        <v>292</v>
      </c>
      <c r="AR1" s="279" t="s">
        <v>270</v>
      </c>
      <c r="AS1" s="283" t="s">
        <v>293</v>
      </c>
      <c r="AT1" s="283" t="s">
        <v>294</v>
      </c>
      <c r="AU1" s="283" t="s">
        <v>295</v>
      </c>
      <c r="AV1" s="283" t="s">
        <v>296</v>
      </c>
      <c r="AW1" s="283" t="s">
        <v>297</v>
      </c>
      <c r="AX1" s="283" t="s">
        <v>298</v>
      </c>
      <c r="AY1" s="8" t="s">
        <v>299</v>
      </c>
      <c r="AZ1" s="282" t="s">
        <v>300</v>
      </c>
      <c r="BA1" s="283" t="s">
        <v>301</v>
      </c>
      <c r="BB1" s="282" t="s">
        <v>302</v>
      </c>
      <c r="BC1" s="283" t="s">
        <v>303</v>
      </c>
      <c r="BD1" s="8" t="s">
        <v>304</v>
      </c>
      <c r="BE1" s="8" t="s">
        <v>315</v>
      </c>
      <c r="BF1" s="8" t="s">
        <v>316</v>
      </c>
      <c r="BG1" s="8" t="s">
        <v>305</v>
      </c>
      <c r="BH1" s="8" t="s">
        <v>306</v>
      </c>
      <c r="BI1" s="8" t="s">
        <v>307</v>
      </c>
      <c r="BJ1" s="8" t="s">
        <v>308</v>
      </c>
      <c r="BK1" s="8" t="s">
        <v>309</v>
      </c>
      <c r="BL1" s="8" t="s">
        <v>310</v>
      </c>
      <c r="BM1" s="8" t="s">
        <v>311</v>
      </c>
      <c r="BN1" s="8" t="s">
        <v>312</v>
      </c>
      <c r="BO1" s="8" t="s">
        <v>313</v>
      </c>
      <c r="BP1" s="8" t="s">
        <v>314</v>
      </c>
      <c r="BQ1" s="8" t="s">
        <v>317</v>
      </c>
      <c r="BR1" s="8" t="s">
        <v>318</v>
      </c>
      <c r="BS1" s="8" t="s">
        <v>319</v>
      </c>
      <c r="BT1" s="8" t="s">
        <v>320</v>
      </c>
      <c r="BU1" s="8" t="s">
        <v>321</v>
      </c>
      <c r="BV1" s="8" t="s">
        <v>322</v>
      </c>
      <c r="BW1" s="8" t="s">
        <v>323</v>
      </c>
      <c r="BX1" s="8" t="s">
        <v>324</v>
      </c>
      <c r="BY1" s="8" t="s">
        <v>325</v>
      </c>
      <c r="BZ1" s="8" t="s">
        <v>326</v>
      </c>
      <c r="CA1" s="8" t="s">
        <v>327</v>
      </c>
    </row>
    <row r="2" spans="1:79" x14ac:dyDescent="0.25">
      <c r="A2" t="s">
        <v>328</v>
      </c>
      <c r="B2" s="277" t="s">
        <v>123</v>
      </c>
      <c r="C2" s="277"/>
      <c r="D2" t="s">
        <v>104</v>
      </c>
      <c r="E2" s="279">
        <v>29</v>
      </c>
      <c r="F2" s="279">
        <v>29</v>
      </c>
      <c r="G2" s="279">
        <v>29</v>
      </c>
      <c r="H2" s="279">
        <v>10773.104893401014</v>
      </c>
      <c r="I2" s="279">
        <v>0</v>
      </c>
      <c r="J2" s="279">
        <v>0</v>
      </c>
      <c r="K2" s="279">
        <v>1524186.8</v>
      </c>
      <c r="L2" s="279">
        <v>0</v>
      </c>
      <c r="M2" s="279">
        <v>0</v>
      </c>
      <c r="N2" s="279">
        <v>0</v>
      </c>
      <c r="O2" s="279">
        <v>0</v>
      </c>
      <c r="P2" s="279">
        <v>0</v>
      </c>
      <c r="Q2" s="279">
        <v>0</v>
      </c>
      <c r="R2" s="279">
        <v>7182.0699289340109</v>
      </c>
      <c r="S2" s="279">
        <v>0</v>
      </c>
      <c r="T2" s="279">
        <v>312.39999999999998</v>
      </c>
      <c r="U2" s="279">
        <v>0</v>
      </c>
      <c r="V2" s="279">
        <v>0</v>
      </c>
      <c r="W2" s="279">
        <v>44201.4</v>
      </c>
      <c r="X2" s="279">
        <v>0</v>
      </c>
      <c r="Y2" s="279">
        <v>0</v>
      </c>
      <c r="Z2" s="279">
        <v>0</v>
      </c>
      <c r="AA2" s="279">
        <v>0</v>
      </c>
      <c r="AB2" s="279">
        <v>0</v>
      </c>
      <c r="AC2" s="279">
        <v>0</v>
      </c>
      <c r="AD2" s="279">
        <v>208.3</v>
      </c>
      <c r="AE2" s="279">
        <v>0</v>
      </c>
      <c r="AF2" s="279">
        <v>312.39999999999998</v>
      </c>
      <c r="AG2" s="279">
        <v>0</v>
      </c>
      <c r="AH2" s="279">
        <v>0</v>
      </c>
      <c r="AI2" s="279">
        <v>44201.4</v>
      </c>
      <c r="AJ2" s="279">
        <v>0</v>
      </c>
      <c r="AK2" s="279">
        <v>0</v>
      </c>
      <c r="AL2" s="279">
        <v>0</v>
      </c>
      <c r="AM2" s="279">
        <v>0</v>
      </c>
      <c r="AN2" s="279">
        <v>0</v>
      </c>
      <c r="AO2" s="279">
        <v>0</v>
      </c>
      <c r="AP2" s="279">
        <v>208.3</v>
      </c>
      <c r="AQ2" s="279">
        <v>0</v>
      </c>
      <c r="AR2" s="279">
        <v>312.39999999999998</v>
      </c>
      <c r="AS2" s="279">
        <v>0</v>
      </c>
      <c r="AT2" s="279">
        <v>0</v>
      </c>
      <c r="AU2" s="279">
        <v>44201.4</v>
      </c>
      <c r="AV2" s="279">
        <v>0</v>
      </c>
      <c r="AW2" s="279">
        <v>0</v>
      </c>
      <c r="AX2" s="279">
        <v>0</v>
      </c>
      <c r="AY2" s="279">
        <v>0</v>
      </c>
      <c r="AZ2" s="279">
        <v>0</v>
      </c>
      <c r="BA2" s="279">
        <v>0</v>
      </c>
      <c r="BB2" s="279">
        <v>208.3</v>
      </c>
      <c r="BC2" s="279">
        <v>0</v>
      </c>
      <c r="BD2" s="279">
        <v>10773.104893401014</v>
      </c>
      <c r="BE2" s="279">
        <v>0</v>
      </c>
      <c r="BF2" s="279">
        <v>0</v>
      </c>
      <c r="BG2" s="279">
        <v>1524186.8</v>
      </c>
      <c r="BH2" s="279">
        <v>0</v>
      </c>
      <c r="BI2" s="279">
        <v>0</v>
      </c>
      <c r="BJ2" s="279">
        <v>0</v>
      </c>
      <c r="BK2" s="279">
        <v>0</v>
      </c>
      <c r="BL2" s="279">
        <v>0</v>
      </c>
      <c r="BM2" s="279">
        <v>0</v>
      </c>
      <c r="BN2" s="279">
        <v>7182.0699289340109</v>
      </c>
      <c r="BO2" s="279">
        <v>0</v>
      </c>
      <c r="BP2" s="279">
        <v>10773.104893401014</v>
      </c>
      <c r="BQ2" s="279">
        <v>0</v>
      </c>
      <c r="BR2" s="279">
        <v>0</v>
      </c>
      <c r="BS2" s="279">
        <v>1524186.8</v>
      </c>
      <c r="BT2" s="279">
        <v>0</v>
      </c>
      <c r="BU2" s="279">
        <v>0</v>
      </c>
      <c r="BV2" s="279">
        <v>0</v>
      </c>
      <c r="BW2" s="279">
        <v>0</v>
      </c>
      <c r="BX2" s="279">
        <v>0</v>
      </c>
      <c r="BY2" s="279">
        <v>0</v>
      </c>
      <c r="BZ2" s="279">
        <v>7182.0699289340109</v>
      </c>
      <c r="CA2" s="279">
        <v>0</v>
      </c>
    </row>
    <row r="3" spans="1:79" x14ac:dyDescent="0.25">
      <c r="A3" t="s">
        <v>328</v>
      </c>
      <c r="B3" s="277" t="s">
        <v>123</v>
      </c>
      <c r="D3" t="s">
        <v>104</v>
      </c>
      <c r="E3">
        <v>0</v>
      </c>
      <c r="F3">
        <v>0</v>
      </c>
      <c r="G3">
        <v>0</v>
      </c>
      <c r="H3" s="279">
        <v>21546.209786802028</v>
      </c>
      <c r="I3" s="279">
        <v>0</v>
      </c>
      <c r="J3" s="279">
        <v>0</v>
      </c>
      <c r="K3" s="279">
        <v>15241868</v>
      </c>
      <c r="L3" s="279">
        <v>0</v>
      </c>
      <c r="M3" s="279">
        <v>0</v>
      </c>
      <c r="N3" s="279">
        <v>0</v>
      </c>
      <c r="O3" s="279">
        <v>0</v>
      </c>
      <c r="P3" s="279">
        <v>0</v>
      </c>
      <c r="Q3" s="279">
        <v>0</v>
      </c>
      <c r="R3" s="279">
        <v>14364.13985786802</v>
      </c>
      <c r="S3" s="279">
        <v>0</v>
      </c>
      <c r="T3" s="279">
        <v>0</v>
      </c>
      <c r="U3" s="279">
        <v>0</v>
      </c>
      <c r="V3" s="279">
        <v>0</v>
      </c>
      <c r="W3" s="279">
        <v>0</v>
      </c>
      <c r="X3" s="279">
        <v>0</v>
      </c>
      <c r="Y3" s="279">
        <v>0</v>
      </c>
      <c r="Z3" s="279">
        <v>0</v>
      </c>
      <c r="AA3" s="279">
        <v>0</v>
      </c>
      <c r="AB3" s="279">
        <v>0</v>
      </c>
      <c r="AC3" s="279">
        <v>0</v>
      </c>
      <c r="AD3" s="279">
        <v>0</v>
      </c>
      <c r="AE3" s="279">
        <v>0</v>
      </c>
      <c r="AF3" s="279">
        <v>0</v>
      </c>
      <c r="AG3" s="279">
        <v>0</v>
      </c>
      <c r="AH3" s="279">
        <v>0</v>
      </c>
      <c r="AI3" s="279">
        <v>0</v>
      </c>
      <c r="AJ3" s="279">
        <v>0</v>
      </c>
      <c r="AK3" s="279">
        <v>0</v>
      </c>
      <c r="AL3" s="279">
        <v>0</v>
      </c>
      <c r="AM3" s="279">
        <v>0</v>
      </c>
      <c r="AN3" s="279">
        <v>0</v>
      </c>
      <c r="AO3" s="279">
        <v>0</v>
      </c>
      <c r="AP3" s="279">
        <v>0</v>
      </c>
      <c r="AQ3" s="279">
        <v>0</v>
      </c>
      <c r="AR3" s="279">
        <v>0</v>
      </c>
      <c r="AS3" s="279">
        <v>0</v>
      </c>
      <c r="AT3" s="279">
        <v>0</v>
      </c>
      <c r="AU3" s="279">
        <v>0</v>
      </c>
      <c r="AV3" s="279">
        <v>0</v>
      </c>
      <c r="AW3" s="279">
        <v>0</v>
      </c>
      <c r="AX3" s="279">
        <v>0</v>
      </c>
      <c r="AY3" s="279">
        <v>0</v>
      </c>
      <c r="AZ3" s="279">
        <v>0</v>
      </c>
      <c r="BA3" s="279">
        <v>0</v>
      </c>
      <c r="BB3" s="279">
        <v>0</v>
      </c>
      <c r="BC3" s="279">
        <v>0</v>
      </c>
      <c r="BD3" s="279">
        <v>21546.209786802028</v>
      </c>
      <c r="BE3" s="279">
        <v>0</v>
      </c>
      <c r="BF3" s="279">
        <v>0</v>
      </c>
      <c r="BG3" s="279">
        <v>15241868</v>
      </c>
      <c r="BH3" s="279">
        <v>0</v>
      </c>
      <c r="BI3" s="279">
        <v>0</v>
      </c>
      <c r="BJ3" s="279">
        <v>0</v>
      </c>
      <c r="BK3" s="279">
        <v>0</v>
      </c>
      <c r="BL3" s="279">
        <v>0</v>
      </c>
      <c r="BM3" s="279">
        <v>0</v>
      </c>
      <c r="BN3" s="279">
        <v>14364.13985786802</v>
      </c>
      <c r="BO3" s="279">
        <v>0</v>
      </c>
      <c r="BP3" s="279">
        <v>21546.209786802028</v>
      </c>
      <c r="BQ3" s="279">
        <v>0</v>
      </c>
      <c r="BR3" s="279">
        <v>0</v>
      </c>
      <c r="BS3" s="279">
        <v>15241868</v>
      </c>
      <c r="BT3" s="279">
        <v>0</v>
      </c>
      <c r="BU3" s="279">
        <v>0</v>
      </c>
      <c r="BV3" s="279">
        <v>0</v>
      </c>
      <c r="BW3" s="279">
        <v>0</v>
      </c>
      <c r="BX3" s="279">
        <v>0</v>
      </c>
      <c r="BY3" s="279">
        <v>0</v>
      </c>
      <c r="BZ3" s="279">
        <v>14364.13985786802</v>
      </c>
      <c r="CA3" s="279">
        <v>0</v>
      </c>
    </row>
    <row r="4" spans="1:79" x14ac:dyDescent="0.25">
      <c r="A4" t="s">
        <v>328</v>
      </c>
      <c r="B4" s="277" t="s">
        <v>123</v>
      </c>
      <c r="D4" t="s">
        <v>105</v>
      </c>
      <c r="E4">
        <v>1154</v>
      </c>
      <c r="F4">
        <v>1154</v>
      </c>
      <c r="G4">
        <v>1154</v>
      </c>
      <c r="H4" s="279">
        <v>10773.104893401014</v>
      </c>
      <c r="I4" s="279">
        <v>0</v>
      </c>
      <c r="J4" s="279">
        <v>0</v>
      </c>
      <c r="K4" s="279">
        <v>1524186.8</v>
      </c>
      <c r="L4" s="279">
        <v>0</v>
      </c>
      <c r="M4" s="279">
        <v>0</v>
      </c>
      <c r="N4" s="279">
        <v>0</v>
      </c>
      <c r="O4" s="279">
        <v>0</v>
      </c>
      <c r="P4" s="279">
        <v>0</v>
      </c>
      <c r="Q4" s="279">
        <v>0</v>
      </c>
      <c r="R4" s="279">
        <v>7182.0699289340109</v>
      </c>
      <c r="S4" s="279">
        <v>0</v>
      </c>
      <c r="T4" s="279">
        <v>12432.2</v>
      </c>
      <c r="U4" s="279">
        <v>0</v>
      </c>
      <c r="V4" s="279">
        <v>0</v>
      </c>
      <c r="W4" s="279">
        <v>1758911.6</v>
      </c>
      <c r="X4" s="279">
        <v>0</v>
      </c>
      <c r="Y4" s="279">
        <v>0</v>
      </c>
      <c r="Z4" s="279">
        <v>0</v>
      </c>
      <c r="AA4" s="279">
        <v>0</v>
      </c>
      <c r="AB4" s="279">
        <v>0</v>
      </c>
      <c r="AC4" s="279">
        <v>0</v>
      </c>
      <c r="AD4" s="279">
        <v>8288.1</v>
      </c>
      <c r="AE4" s="279">
        <v>0</v>
      </c>
      <c r="AF4" s="279">
        <v>12432.2</v>
      </c>
      <c r="AG4" s="279">
        <v>0</v>
      </c>
      <c r="AH4" s="279">
        <v>0</v>
      </c>
      <c r="AI4" s="279">
        <v>1758911.6</v>
      </c>
      <c r="AJ4" s="279">
        <v>0</v>
      </c>
      <c r="AK4" s="279">
        <v>0</v>
      </c>
      <c r="AL4" s="279">
        <v>0</v>
      </c>
      <c r="AM4" s="279">
        <v>0</v>
      </c>
      <c r="AN4" s="279">
        <v>0</v>
      </c>
      <c r="AO4" s="279">
        <v>0</v>
      </c>
      <c r="AP4" s="279">
        <v>8288.1</v>
      </c>
      <c r="AQ4" s="279">
        <v>0</v>
      </c>
      <c r="AR4" s="279">
        <v>12432.2</v>
      </c>
      <c r="AS4" s="279">
        <v>0</v>
      </c>
      <c r="AT4" s="279">
        <v>0</v>
      </c>
      <c r="AU4" s="279">
        <v>1758911.6</v>
      </c>
      <c r="AV4" s="279">
        <v>0</v>
      </c>
      <c r="AW4" s="279">
        <v>0</v>
      </c>
      <c r="AX4" s="279">
        <v>0</v>
      </c>
      <c r="AY4" s="279">
        <v>0</v>
      </c>
      <c r="AZ4" s="279">
        <v>0</v>
      </c>
      <c r="BA4" s="279">
        <v>0</v>
      </c>
      <c r="BB4" s="279">
        <v>8288.1</v>
      </c>
      <c r="BC4" s="279">
        <v>0</v>
      </c>
      <c r="BD4" s="279">
        <v>10773.104893401014</v>
      </c>
      <c r="BE4" s="279">
        <v>0</v>
      </c>
      <c r="BF4" s="279">
        <v>0</v>
      </c>
      <c r="BG4" s="279">
        <v>1524186.8</v>
      </c>
      <c r="BH4" s="279">
        <v>0</v>
      </c>
      <c r="BI4" s="279">
        <v>0</v>
      </c>
      <c r="BJ4" s="279">
        <v>0</v>
      </c>
      <c r="BK4" s="279">
        <v>0</v>
      </c>
      <c r="BL4" s="279">
        <v>0</v>
      </c>
      <c r="BM4" s="279">
        <v>0</v>
      </c>
      <c r="BN4" s="279">
        <v>7182.0699289340109</v>
      </c>
      <c r="BO4" s="279">
        <v>0</v>
      </c>
      <c r="BP4" s="279">
        <v>10773.104893401014</v>
      </c>
      <c r="BQ4" s="279">
        <v>0</v>
      </c>
      <c r="BR4" s="279">
        <v>0</v>
      </c>
      <c r="BS4" s="279">
        <v>1524186.8</v>
      </c>
      <c r="BT4" s="279">
        <v>0</v>
      </c>
      <c r="BU4" s="279">
        <v>0</v>
      </c>
      <c r="BV4" s="279">
        <v>0</v>
      </c>
      <c r="BW4" s="279">
        <v>0</v>
      </c>
      <c r="BX4" s="279">
        <v>0</v>
      </c>
      <c r="BY4" s="279">
        <v>0</v>
      </c>
      <c r="BZ4" s="279">
        <v>7182.0699289340109</v>
      </c>
      <c r="CA4" s="279">
        <v>0</v>
      </c>
    </row>
    <row r="5" spans="1:79" x14ac:dyDescent="0.25">
      <c r="A5" t="s">
        <v>328</v>
      </c>
      <c r="B5" s="277" t="s">
        <v>123</v>
      </c>
      <c r="D5" t="s">
        <v>105</v>
      </c>
      <c r="E5">
        <v>2</v>
      </c>
      <c r="F5">
        <v>2</v>
      </c>
      <c r="G5">
        <v>1</v>
      </c>
      <c r="H5" s="279">
        <v>21546.209786802028</v>
      </c>
      <c r="I5" s="279">
        <v>0</v>
      </c>
      <c r="J5" s="279">
        <v>0</v>
      </c>
      <c r="K5" s="279">
        <v>15241868</v>
      </c>
      <c r="L5" s="279">
        <v>0</v>
      </c>
      <c r="M5" s="279">
        <v>0</v>
      </c>
      <c r="N5" s="279">
        <v>0</v>
      </c>
      <c r="O5" s="279">
        <v>0</v>
      </c>
      <c r="P5" s="279">
        <v>0</v>
      </c>
      <c r="Q5" s="279">
        <v>0</v>
      </c>
      <c r="R5" s="279">
        <v>14364.13985786802</v>
      </c>
      <c r="S5" s="279">
        <v>0</v>
      </c>
      <c r="T5" s="279">
        <v>43.1</v>
      </c>
      <c r="U5" s="279">
        <v>0</v>
      </c>
      <c r="V5" s="279">
        <v>0</v>
      </c>
      <c r="W5" s="279">
        <v>0</v>
      </c>
      <c r="X5" s="279">
        <v>0</v>
      </c>
      <c r="Y5" s="279">
        <v>0</v>
      </c>
      <c r="Z5" s="279">
        <v>0</v>
      </c>
      <c r="AA5" s="279">
        <v>0</v>
      </c>
      <c r="AB5" s="279">
        <v>0</v>
      </c>
      <c r="AC5" s="279">
        <v>0</v>
      </c>
      <c r="AD5" s="279">
        <v>0</v>
      </c>
      <c r="AE5" s="279">
        <v>0</v>
      </c>
      <c r="AF5" s="279">
        <v>43.1</v>
      </c>
      <c r="AG5" s="279">
        <v>0</v>
      </c>
      <c r="AH5" s="279">
        <v>0</v>
      </c>
      <c r="AI5" s="279">
        <v>30483.7</v>
      </c>
      <c r="AJ5" s="279">
        <v>0</v>
      </c>
      <c r="AK5" s="279">
        <v>0</v>
      </c>
      <c r="AL5" s="279">
        <v>0</v>
      </c>
      <c r="AM5" s="279">
        <v>0</v>
      </c>
      <c r="AN5" s="279">
        <v>0</v>
      </c>
      <c r="AO5" s="279">
        <v>0</v>
      </c>
      <c r="AP5" s="279">
        <v>28.7</v>
      </c>
      <c r="AQ5" s="279">
        <v>0</v>
      </c>
      <c r="AR5" s="279">
        <v>21.5</v>
      </c>
      <c r="AS5" s="279">
        <v>0</v>
      </c>
      <c r="AT5" s="279">
        <v>0</v>
      </c>
      <c r="AU5" s="279">
        <v>15241.9</v>
      </c>
      <c r="AV5" s="279">
        <v>0</v>
      </c>
      <c r="AW5" s="279">
        <v>0</v>
      </c>
      <c r="AX5" s="279">
        <v>0</v>
      </c>
      <c r="AY5" s="279">
        <v>0</v>
      </c>
      <c r="AZ5" s="279">
        <v>0</v>
      </c>
      <c r="BA5" s="279">
        <v>0</v>
      </c>
      <c r="BB5" s="279">
        <v>14.4</v>
      </c>
      <c r="BC5" s="279">
        <v>0</v>
      </c>
      <c r="BD5" s="279">
        <v>21546.209786802028</v>
      </c>
      <c r="BE5" s="279">
        <v>0</v>
      </c>
      <c r="BF5" s="279">
        <v>0</v>
      </c>
      <c r="BG5" s="279">
        <v>15241868</v>
      </c>
      <c r="BH5" s="279">
        <v>0</v>
      </c>
      <c r="BI5" s="279">
        <v>0</v>
      </c>
      <c r="BJ5" s="279">
        <v>0</v>
      </c>
      <c r="BK5" s="279">
        <v>0</v>
      </c>
      <c r="BL5" s="279">
        <v>0</v>
      </c>
      <c r="BM5" s="279">
        <v>0</v>
      </c>
      <c r="BN5" s="279">
        <v>14364.13985786802</v>
      </c>
      <c r="BO5" s="279">
        <v>0</v>
      </c>
      <c r="BP5" s="279">
        <v>21546.209786802028</v>
      </c>
      <c r="BQ5" s="279">
        <v>0</v>
      </c>
      <c r="BR5" s="279">
        <v>0</v>
      </c>
      <c r="BS5" s="279">
        <v>15241868</v>
      </c>
      <c r="BT5" s="279">
        <v>0</v>
      </c>
      <c r="BU5" s="279">
        <v>0</v>
      </c>
      <c r="BV5" s="279">
        <v>0</v>
      </c>
      <c r="BW5" s="279">
        <v>0</v>
      </c>
      <c r="BX5" s="279">
        <v>0</v>
      </c>
      <c r="BY5" s="279">
        <v>0</v>
      </c>
      <c r="BZ5" s="279">
        <v>14364.13985786802</v>
      </c>
      <c r="CA5" s="279">
        <v>0</v>
      </c>
    </row>
    <row r="6" spans="1:79" x14ac:dyDescent="0.25">
      <c r="A6" t="s">
        <v>328</v>
      </c>
      <c r="B6" s="278" t="s">
        <v>122</v>
      </c>
      <c r="D6" t="s">
        <v>102</v>
      </c>
      <c r="E6">
        <v>10</v>
      </c>
      <c r="F6">
        <v>10</v>
      </c>
      <c r="G6">
        <v>10</v>
      </c>
      <c r="H6" s="279">
        <v>253383.42709279183</v>
      </c>
      <c r="I6" s="279">
        <v>370000</v>
      </c>
      <c r="J6" s="279">
        <v>0</v>
      </c>
      <c r="K6" s="279">
        <v>19926290</v>
      </c>
      <c r="L6" s="279">
        <v>0</v>
      </c>
      <c r="M6" s="279">
        <v>0</v>
      </c>
      <c r="N6" s="279">
        <v>0</v>
      </c>
      <c r="O6" s="279">
        <v>0</v>
      </c>
      <c r="P6" s="279">
        <v>0</v>
      </c>
      <c r="Q6" s="279">
        <v>0</v>
      </c>
      <c r="R6" s="279">
        <v>168744.84629498128</v>
      </c>
      <c r="S6" s="279">
        <v>0</v>
      </c>
      <c r="T6" s="279">
        <v>2533.8000000000002</v>
      </c>
      <c r="U6" s="279">
        <v>3700</v>
      </c>
      <c r="V6" s="279">
        <v>0</v>
      </c>
      <c r="W6" s="279">
        <v>199262.9</v>
      </c>
      <c r="X6" s="279">
        <v>0</v>
      </c>
      <c r="Y6" s="279">
        <v>0</v>
      </c>
      <c r="Z6" s="279">
        <v>0</v>
      </c>
      <c r="AA6" s="279">
        <v>0</v>
      </c>
      <c r="AB6" s="279">
        <v>0</v>
      </c>
      <c r="AC6" s="279">
        <v>0</v>
      </c>
      <c r="AD6" s="279">
        <v>1687.4</v>
      </c>
      <c r="AE6" s="279">
        <v>0</v>
      </c>
      <c r="AF6" s="279">
        <v>2533.8000000000002</v>
      </c>
      <c r="AG6" s="279">
        <v>3700</v>
      </c>
      <c r="AH6" s="279">
        <v>0</v>
      </c>
      <c r="AI6" s="279">
        <v>199262.9</v>
      </c>
      <c r="AJ6" s="279">
        <v>0</v>
      </c>
      <c r="AK6" s="279">
        <v>0</v>
      </c>
      <c r="AL6" s="279">
        <v>0</v>
      </c>
      <c r="AM6" s="279">
        <v>0</v>
      </c>
      <c r="AN6" s="279">
        <v>0</v>
      </c>
      <c r="AO6" s="279">
        <v>0</v>
      </c>
      <c r="AP6" s="279">
        <v>1687.4</v>
      </c>
      <c r="AQ6" s="279">
        <v>0</v>
      </c>
      <c r="AR6" s="279">
        <v>2533.8000000000002</v>
      </c>
      <c r="AS6" s="279">
        <v>3700</v>
      </c>
      <c r="AT6" s="279">
        <v>0</v>
      </c>
      <c r="AU6" s="279">
        <v>199262.9</v>
      </c>
      <c r="AV6" s="279">
        <v>0</v>
      </c>
      <c r="AW6" s="279">
        <v>0</v>
      </c>
      <c r="AX6" s="279">
        <v>0</v>
      </c>
      <c r="AY6" s="279">
        <v>0</v>
      </c>
      <c r="AZ6" s="279">
        <v>0</v>
      </c>
      <c r="BA6" s="279">
        <v>0</v>
      </c>
      <c r="BB6" s="279">
        <v>1687.4</v>
      </c>
      <c r="BC6" s="279">
        <v>0</v>
      </c>
      <c r="BD6" s="279">
        <v>253383.42709279183</v>
      </c>
      <c r="BE6" s="279">
        <v>370000</v>
      </c>
      <c r="BF6" s="279">
        <v>0</v>
      </c>
      <c r="BG6" s="279">
        <v>19926290</v>
      </c>
      <c r="BH6" s="279">
        <v>0</v>
      </c>
      <c r="BI6" s="279">
        <v>0</v>
      </c>
      <c r="BJ6" s="279">
        <v>0</v>
      </c>
      <c r="BK6" s="279">
        <v>0</v>
      </c>
      <c r="BL6" s="279">
        <v>0</v>
      </c>
      <c r="BM6" s="279">
        <v>0</v>
      </c>
      <c r="BN6" s="279">
        <v>168744.84629498128</v>
      </c>
      <c r="BO6" s="279">
        <v>0</v>
      </c>
      <c r="BP6" s="279">
        <v>253383.42709279183</v>
      </c>
      <c r="BQ6" s="279">
        <v>370000</v>
      </c>
      <c r="BR6" s="279">
        <v>0</v>
      </c>
      <c r="BS6" s="279">
        <v>19926290</v>
      </c>
      <c r="BT6" s="279">
        <v>0</v>
      </c>
      <c r="BU6" s="279">
        <v>0</v>
      </c>
      <c r="BV6" s="279">
        <v>0</v>
      </c>
      <c r="BW6" s="279">
        <v>0</v>
      </c>
      <c r="BX6" s="279">
        <v>0</v>
      </c>
      <c r="BY6" s="279">
        <v>0</v>
      </c>
      <c r="BZ6" s="279">
        <v>168744.84629498128</v>
      </c>
      <c r="CA6" s="279">
        <v>0</v>
      </c>
    </row>
    <row r="7" spans="1:79" x14ac:dyDescent="0.25">
      <c r="A7" t="s">
        <v>328</v>
      </c>
      <c r="B7" s="278" t="s">
        <v>122</v>
      </c>
      <c r="D7" t="s">
        <v>103</v>
      </c>
      <c r="E7">
        <v>824</v>
      </c>
      <c r="F7">
        <v>824</v>
      </c>
      <c r="G7">
        <v>824</v>
      </c>
      <c r="H7" s="279">
        <v>253383.42709279183</v>
      </c>
      <c r="I7" s="279">
        <v>370000</v>
      </c>
      <c r="J7" s="279">
        <v>0</v>
      </c>
      <c r="K7" s="279">
        <v>3055000</v>
      </c>
      <c r="L7" s="279">
        <v>0</v>
      </c>
      <c r="M7" s="279">
        <v>0</v>
      </c>
      <c r="N7" s="279">
        <v>0</v>
      </c>
      <c r="O7" s="279">
        <v>0</v>
      </c>
      <c r="P7" s="279">
        <v>0</v>
      </c>
      <c r="Q7" s="279">
        <v>0</v>
      </c>
      <c r="R7" s="279">
        <v>168744.84629498128</v>
      </c>
      <c r="S7" s="279">
        <v>0</v>
      </c>
      <c r="T7" s="279">
        <v>208787.9</v>
      </c>
      <c r="U7" s="279">
        <v>304880</v>
      </c>
      <c r="V7" s="279">
        <v>0</v>
      </c>
      <c r="W7" s="279">
        <v>2517320</v>
      </c>
      <c r="X7" s="279">
        <v>0</v>
      </c>
      <c r="Y7" s="279">
        <v>0</v>
      </c>
      <c r="Z7" s="279">
        <v>0</v>
      </c>
      <c r="AA7" s="279">
        <v>0</v>
      </c>
      <c r="AB7" s="279">
        <v>0</v>
      </c>
      <c r="AC7" s="279">
        <v>0</v>
      </c>
      <c r="AD7" s="279">
        <v>139045.79999999999</v>
      </c>
      <c r="AE7" s="279">
        <v>0</v>
      </c>
      <c r="AF7" s="279">
        <v>208787.9</v>
      </c>
      <c r="AG7" s="279">
        <v>304880</v>
      </c>
      <c r="AH7" s="279">
        <v>0</v>
      </c>
      <c r="AI7" s="279">
        <v>2517320</v>
      </c>
      <c r="AJ7" s="279">
        <v>0</v>
      </c>
      <c r="AK7" s="279">
        <v>0</v>
      </c>
      <c r="AL7" s="279">
        <v>0</v>
      </c>
      <c r="AM7" s="279">
        <v>0</v>
      </c>
      <c r="AN7" s="279">
        <v>0</v>
      </c>
      <c r="AO7" s="279">
        <v>0</v>
      </c>
      <c r="AP7" s="279">
        <v>139045.79999999999</v>
      </c>
      <c r="AQ7" s="279">
        <v>0</v>
      </c>
      <c r="AR7" s="279">
        <v>208787.9</v>
      </c>
      <c r="AS7" s="279">
        <v>304880</v>
      </c>
      <c r="AT7" s="279">
        <v>0</v>
      </c>
      <c r="AU7" s="279">
        <v>2517320</v>
      </c>
      <c r="AV7" s="279">
        <v>0</v>
      </c>
      <c r="AW7" s="279">
        <v>0</v>
      </c>
      <c r="AX7" s="279">
        <v>0</v>
      </c>
      <c r="AY7" s="279">
        <v>0</v>
      </c>
      <c r="AZ7" s="279">
        <v>0</v>
      </c>
      <c r="BA7" s="279">
        <v>0</v>
      </c>
      <c r="BB7" s="279">
        <v>139045.79999999999</v>
      </c>
      <c r="BC7" s="279">
        <v>0</v>
      </c>
      <c r="BD7" s="279">
        <v>253383.42709279183</v>
      </c>
      <c r="BE7" s="279">
        <v>370000</v>
      </c>
      <c r="BF7" s="279">
        <v>0</v>
      </c>
      <c r="BG7" s="279">
        <v>3055000</v>
      </c>
      <c r="BH7" s="279">
        <v>0</v>
      </c>
      <c r="BI7" s="279">
        <v>0</v>
      </c>
      <c r="BJ7" s="279">
        <v>0</v>
      </c>
      <c r="BK7" s="279">
        <v>0</v>
      </c>
      <c r="BL7" s="279">
        <v>0</v>
      </c>
      <c r="BM7" s="279">
        <v>0</v>
      </c>
      <c r="BN7" s="279">
        <v>168744.84629498128</v>
      </c>
      <c r="BO7" s="279">
        <v>0</v>
      </c>
      <c r="BP7" s="279">
        <v>253383.42709279183</v>
      </c>
      <c r="BQ7" s="279">
        <v>370000</v>
      </c>
      <c r="BR7" s="279">
        <v>0</v>
      </c>
      <c r="BS7" s="279">
        <v>3055000</v>
      </c>
      <c r="BT7" s="279">
        <v>0</v>
      </c>
      <c r="BU7" s="279">
        <v>0</v>
      </c>
      <c r="BV7" s="279">
        <v>0</v>
      </c>
      <c r="BW7" s="279">
        <v>0</v>
      </c>
      <c r="BX7" s="279">
        <v>0</v>
      </c>
      <c r="BY7" s="279">
        <v>0</v>
      </c>
      <c r="BZ7" s="279">
        <v>168744.84629498128</v>
      </c>
      <c r="CA7" s="279">
        <v>0</v>
      </c>
    </row>
    <row r="8" spans="1:79" x14ac:dyDescent="0.25">
      <c r="A8" t="s">
        <v>328</v>
      </c>
      <c r="B8" t="s">
        <v>121</v>
      </c>
      <c r="D8" t="s">
        <v>106</v>
      </c>
      <c r="E8" s="280">
        <v>350625</v>
      </c>
      <c r="F8" s="280">
        <v>350625</v>
      </c>
      <c r="G8" s="280">
        <v>350625</v>
      </c>
      <c r="H8" s="279">
        <v>1325.2</v>
      </c>
      <c r="I8" s="279">
        <v>1152.2</v>
      </c>
      <c r="J8" s="279">
        <v>8.6</v>
      </c>
      <c r="K8" s="279">
        <v>30.1</v>
      </c>
      <c r="L8" s="279">
        <v>522.20000000000005</v>
      </c>
      <c r="M8" s="279">
        <v>276.39999999999998</v>
      </c>
      <c r="N8" s="279">
        <v>9.1</v>
      </c>
      <c r="O8" s="279">
        <v>49.4</v>
      </c>
      <c r="P8" s="279">
        <v>12.9</v>
      </c>
      <c r="Q8" s="279">
        <v>24.3</v>
      </c>
      <c r="R8" s="279">
        <v>722.2</v>
      </c>
      <c r="S8" s="279">
        <v>1073.5999999999999</v>
      </c>
      <c r="T8" s="279">
        <v>1325.2</v>
      </c>
      <c r="U8" s="279">
        <v>1152.2</v>
      </c>
      <c r="V8" s="279">
        <v>8.6</v>
      </c>
      <c r="W8" s="279">
        <v>30.1</v>
      </c>
      <c r="X8" s="279">
        <v>522.20000000000005</v>
      </c>
      <c r="Y8" s="279">
        <v>276.39999999999998</v>
      </c>
      <c r="Z8" s="279">
        <v>9.1</v>
      </c>
      <c r="AA8" s="279">
        <v>49.4</v>
      </c>
      <c r="AB8" s="279">
        <v>12.9</v>
      </c>
      <c r="AC8" s="279">
        <v>24.3</v>
      </c>
      <c r="AD8" s="279">
        <v>722.2</v>
      </c>
      <c r="AE8" s="279">
        <v>1073.5999999999999</v>
      </c>
      <c r="AF8" s="279">
        <v>1325.2</v>
      </c>
      <c r="AG8" s="279">
        <v>1152.2</v>
      </c>
      <c r="AH8" s="279">
        <v>8.6</v>
      </c>
      <c r="AI8" s="279">
        <v>30.1</v>
      </c>
      <c r="AJ8" s="279">
        <v>522.20000000000005</v>
      </c>
      <c r="AK8" s="279">
        <v>276.39999999999998</v>
      </c>
      <c r="AL8" s="279">
        <v>9.1</v>
      </c>
      <c r="AM8" s="279">
        <v>49.4</v>
      </c>
      <c r="AN8" s="279">
        <v>12.9</v>
      </c>
      <c r="AO8" s="279">
        <v>24.3</v>
      </c>
      <c r="AP8" s="279">
        <v>722.2</v>
      </c>
      <c r="AQ8" s="279">
        <v>1073.5999999999999</v>
      </c>
      <c r="AR8" s="279">
        <v>1325.2</v>
      </c>
      <c r="AS8" s="279">
        <v>1152.2</v>
      </c>
      <c r="AT8" s="279">
        <v>8.6</v>
      </c>
      <c r="AU8" s="279">
        <v>30.1</v>
      </c>
      <c r="AV8" s="279">
        <v>522.20000000000005</v>
      </c>
      <c r="AW8" s="279">
        <v>276.39999999999998</v>
      </c>
      <c r="AX8" s="279">
        <v>9.1</v>
      </c>
      <c r="AY8" s="279">
        <v>49.4</v>
      </c>
      <c r="AZ8" s="279">
        <v>12.9</v>
      </c>
      <c r="BA8" s="279">
        <v>24.3</v>
      </c>
      <c r="BB8" s="279">
        <v>722.2</v>
      </c>
      <c r="BC8" s="279">
        <v>1073.5999999999999</v>
      </c>
      <c r="BD8" s="279">
        <v>1325.2</v>
      </c>
      <c r="BE8" s="279">
        <v>1152.2</v>
      </c>
      <c r="BF8" s="279">
        <v>8.6</v>
      </c>
      <c r="BG8" s="279">
        <v>30.1</v>
      </c>
      <c r="BH8" s="279">
        <v>522.20000000000005</v>
      </c>
      <c r="BI8" s="279">
        <v>276.39999999999998</v>
      </c>
      <c r="BJ8" s="279">
        <v>9.1</v>
      </c>
      <c r="BK8" s="279">
        <v>49.4</v>
      </c>
      <c r="BL8" s="279">
        <v>12.9</v>
      </c>
      <c r="BM8" s="279">
        <v>24.3</v>
      </c>
      <c r="BN8" s="279">
        <v>722.2</v>
      </c>
      <c r="BO8" s="279">
        <v>1073.5999999999999</v>
      </c>
      <c r="BP8" s="279">
        <v>1325.2</v>
      </c>
      <c r="BQ8" s="279">
        <v>1152.2</v>
      </c>
      <c r="BR8" s="279">
        <v>8.6</v>
      </c>
      <c r="BS8" s="279">
        <v>30.1</v>
      </c>
      <c r="BT8" s="279">
        <v>522.20000000000005</v>
      </c>
      <c r="BU8" s="279">
        <v>276.39999999999998</v>
      </c>
      <c r="BV8" s="279">
        <v>9.1</v>
      </c>
      <c r="BW8" s="279">
        <v>49.4</v>
      </c>
      <c r="BX8" s="279">
        <v>12.9</v>
      </c>
      <c r="BY8" s="279">
        <v>24.3</v>
      </c>
      <c r="BZ8" s="279">
        <v>722.2</v>
      </c>
      <c r="CA8" s="279">
        <v>1073.5999999999999</v>
      </c>
    </row>
    <row r="9" spans="1:79" x14ac:dyDescent="0.25">
      <c r="A9" t="s">
        <v>328</v>
      </c>
      <c r="B9" t="s">
        <v>121</v>
      </c>
      <c r="D9" t="s">
        <v>108</v>
      </c>
      <c r="E9" s="280">
        <v>21850</v>
      </c>
      <c r="F9" s="280">
        <v>21850</v>
      </c>
      <c r="G9" s="280">
        <v>21850</v>
      </c>
      <c r="H9" s="279">
        <v>0</v>
      </c>
      <c r="I9" s="279">
        <v>0</v>
      </c>
      <c r="J9" s="279">
        <v>0</v>
      </c>
      <c r="K9" s="279">
        <v>20000</v>
      </c>
      <c r="L9" s="279">
        <v>0</v>
      </c>
      <c r="M9" s="279">
        <v>0</v>
      </c>
      <c r="N9" s="279">
        <v>0</v>
      </c>
      <c r="O9" s="279">
        <v>0</v>
      </c>
      <c r="P9" s="279">
        <v>0</v>
      </c>
      <c r="Q9" s="279">
        <v>0</v>
      </c>
      <c r="R9" s="279">
        <v>0</v>
      </c>
      <c r="S9" s="279">
        <v>0</v>
      </c>
      <c r="T9" s="279">
        <v>0</v>
      </c>
      <c r="U9" s="279">
        <v>0</v>
      </c>
      <c r="V9" s="279">
        <v>0</v>
      </c>
      <c r="W9" s="279">
        <v>437000</v>
      </c>
      <c r="X9" s="279">
        <v>0</v>
      </c>
      <c r="Y9" s="279">
        <v>0</v>
      </c>
      <c r="Z9" s="279">
        <v>0</v>
      </c>
      <c r="AA9" s="279">
        <v>0</v>
      </c>
      <c r="AB9" s="279">
        <v>0</v>
      </c>
      <c r="AC9" s="279">
        <v>0</v>
      </c>
      <c r="AD9" s="279">
        <v>0</v>
      </c>
      <c r="AE9" s="279">
        <v>0</v>
      </c>
      <c r="AF9" s="279">
        <v>0</v>
      </c>
      <c r="AG9" s="279">
        <v>0</v>
      </c>
      <c r="AH9" s="279">
        <v>0</v>
      </c>
      <c r="AI9" s="279">
        <v>437000</v>
      </c>
      <c r="AJ9" s="279">
        <v>0</v>
      </c>
      <c r="AK9" s="279">
        <v>0</v>
      </c>
      <c r="AL9" s="279">
        <v>0</v>
      </c>
      <c r="AM9" s="279">
        <v>0</v>
      </c>
      <c r="AN9" s="279">
        <v>0</v>
      </c>
      <c r="AO9" s="279">
        <v>0</v>
      </c>
      <c r="AP9" s="279">
        <v>0</v>
      </c>
      <c r="AQ9" s="279">
        <v>0</v>
      </c>
      <c r="AR9" s="279">
        <v>0</v>
      </c>
      <c r="AS9" s="279">
        <v>0</v>
      </c>
      <c r="AT9" s="279">
        <v>0</v>
      </c>
      <c r="AU9" s="279">
        <v>437000</v>
      </c>
      <c r="AV9" s="279">
        <v>0</v>
      </c>
      <c r="AW9" s="279">
        <v>0</v>
      </c>
      <c r="AX9" s="279">
        <v>0</v>
      </c>
      <c r="AY9" s="279">
        <v>0</v>
      </c>
      <c r="AZ9" s="279">
        <v>0</v>
      </c>
      <c r="BA9" s="279">
        <v>0</v>
      </c>
      <c r="BB9" s="279">
        <v>0</v>
      </c>
      <c r="BC9" s="279">
        <v>0</v>
      </c>
      <c r="BD9" s="279">
        <v>0</v>
      </c>
      <c r="BE9" s="279">
        <v>0</v>
      </c>
      <c r="BF9" s="279">
        <v>0</v>
      </c>
      <c r="BG9" s="279">
        <v>20000</v>
      </c>
      <c r="BH9" s="279">
        <v>0</v>
      </c>
      <c r="BI9" s="279">
        <v>0</v>
      </c>
      <c r="BJ9" s="279">
        <v>0</v>
      </c>
      <c r="BK9" s="279">
        <v>0</v>
      </c>
      <c r="BL9" s="279">
        <v>0</v>
      </c>
      <c r="BM9" s="279">
        <v>0</v>
      </c>
      <c r="BN9" s="279">
        <v>0</v>
      </c>
      <c r="BO9" s="279">
        <v>0</v>
      </c>
      <c r="BP9" s="279">
        <v>0</v>
      </c>
      <c r="BQ9" s="279">
        <v>0</v>
      </c>
      <c r="BR9" s="279">
        <v>0</v>
      </c>
      <c r="BS9" s="279">
        <v>20000</v>
      </c>
      <c r="BT9" s="279">
        <v>0</v>
      </c>
      <c r="BU9" s="279">
        <v>0</v>
      </c>
      <c r="BV9" s="279">
        <v>0</v>
      </c>
      <c r="BW9" s="279">
        <v>0</v>
      </c>
      <c r="BX9" s="279">
        <v>0</v>
      </c>
      <c r="BY9" s="279">
        <v>0</v>
      </c>
      <c r="BZ9" s="279">
        <v>0</v>
      </c>
      <c r="CA9" s="279">
        <v>0</v>
      </c>
    </row>
    <row r="10" spans="1:79" ht="18.75" customHeight="1" x14ac:dyDescent="0.25">
      <c r="A10" t="s">
        <v>328</v>
      </c>
      <c r="B10" t="s">
        <v>121</v>
      </c>
      <c r="D10" t="s">
        <v>109</v>
      </c>
      <c r="E10" s="280">
        <v>7175</v>
      </c>
      <c r="F10" s="280">
        <v>7175</v>
      </c>
      <c r="G10" s="280">
        <v>7175</v>
      </c>
      <c r="H10" s="279">
        <v>0</v>
      </c>
      <c r="I10" s="279">
        <v>109480</v>
      </c>
      <c r="J10" s="279">
        <v>0</v>
      </c>
      <c r="K10" s="279">
        <v>0</v>
      </c>
      <c r="L10" s="279">
        <v>0</v>
      </c>
      <c r="M10" s="279">
        <v>0</v>
      </c>
      <c r="N10" s="279">
        <v>0</v>
      </c>
      <c r="O10" s="279">
        <v>0</v>
      </c>
      <c r="P10" s="279">
        <v>0</v>
      </c>
      <c r="Q10" s="279">
        <v>0</v>
      </c>
      <c r="R10" s="279">
        <v>0</v>
      </c>
      <c r="S10" s="279">
        <v>0</v>
      </c>
      <c r="T10" s="279">
        <v>0</v>
      </c>
      <c r="U10" s="279">
        <v>785519</v>
      </c>
      <c r="V10" s="279">
        <v>0</v>
      </c>
      <c r="W10" s="279">
        <v>0</v>
      </c>
      <c r="X10" s="279">
        <v>0</v>
      </c>
      <c r="Y10" s="279">
        <v>0</v>
      </c>
      <c r="Z10" s="279">
        <v>0</v>
      </c>
      <c r="AA10" s="279">
        <v>0</v>
      </c>
      <c r="AB10" s="279">
        <v>0</v>
      </c>
      <c r="AC10" s="279">
        <v>0</v>
      </c>
      <c r="AD10" s="279">
        <v>0</v>
      </c>
      <c r="AE10" s="279">
        <v>0</v>
      </c>
      <c r="AF10" s="279">
        <v>0</v>
      </c>
      <c r="AG10" s="279">
        <v>785519</v>
      </c>
      <c r="AH10" s="279">
        <v>0</v>
      </c>
      <c r="AI10" s="279">
        <v>0</v>
      </c>
      <c r="AJ10" s="279">
        <v>0</v>
      </c>
      <c r="AK10" s="279">
        <v>0</v>
      </c>
      <c r="AL10" s="279">
        <v>0</v>
      </c>
      <c r="AM10" s="279">
        <v>0</v>
      </c>
      <c r="AN10" s="279">
        <v>0</v>
      </c>
      <c r="AO10" s="279">
        <v>0</v>
      </c>
      <c r="AP10" s="279">
        <v>0</v>
      </c>
      <c r="AQ10" s="279">
        <v>0</v>
      </c>
      <c r="AR10" s="279">
        <v>0</v>
      </c>
      <c r="AS10" s="279">
        <v>785519</v>
      </c>
      <c r="AT10" s="279">
        <v>0</v>
      </c>
      <c r="AU10" s="279">
        <v>0</v>
      </c>
      <c r="AV10" s="279">
        <v>0</v>
      </c>
      <c r="AW10" s="279">
        <v>0</v>
      </c>
      <c r="AX10" s="279">
        <v>0</v>
      </c>
      <c r="AY10" s="279">
        <v>0</v>
      </c>
      <c r="AZ10" s="279">
        <v>0</v>
      </c>
      <c r="BA10" s="279">
        <v>0</v>
      </c>
      <c r="BB10" s="279">
        <v>0</v>
      </c>
      <c r="BC10" s="279">
        <v>0</v>
      </c>
      <c r="BD10" s="279">
        <v>0</v>
      </c>
      <c r="BE10" s="279">
        <v>109480</v>
      </c>
      <c r="BF10" s="279">
        <v>0</v>
      </c>
      <c r="BG10" s="279">
        <v>0</v>
      </c>
      <c r="BH10" s="279">
        <v>0</v>
      </c>
      <c r="BI10" s="279">
        <v>0</v>
      </c>
      <c r="BJ10" s="279">
        <v>0</v>
      </c>
      <c r="BK10" s="279">
        <v>0</v>
      </c>
      <c r="BL10" s="279">
        <v>0</v>
      </c>
      <c r="BM10" s="279">
        <v>0</v>
      </c>
      <c r="BN10" s="279">
        <v>0</v>
      </c>
      <c r="BO10" s="279">
        <v>0</v>
      </c>
      <c r="BP10" s="279">
        <v>0</v>
      </c>
      <c r="BQ10" s="279">
        <v>109480</v>
      </c>
      <c r="BR10" s="279">
        <v>0</v>
      </c>
      <c r="BS10" s="279">
        <v>0</v>
      </c>
      <c r="BT10" s="279">
        <v>0</v>
      </c>
      <c r="BU10" s="279">
        <v>0</v>
      </c>
      <c r="BV10" s="279">
        <v>0</v>
      </c>
      <c r="BW10" s="279">
        <v>0</v>
      </c>
      <c r="BX10" s="279">
        <v>0</v>
      </c>
      <c r="BY10" s="279">
        <v>0</v>
      </c>
      <c r="BZ10" s="279">
        <v>0</v>
      </c>
      <c r="CA10" s="279">
        <v>0</v>
      </c>
    </row>
    <row r="11" spans="1:79" x14ac:dyDescent="0.25">
      <c r="A11" t="s">
        <v>328</v>
      </c>
      <c r="B11" t="s">
        <v>121</v>
      </c>
      <c r="D11" t="s">
        <v>107</v>
      </c>
      <c r="E11" s="280">
        <v>4</v>
      </c>
      <c r="F11" s="280">
        <v>4</v>
      </c>
      <c r="G11" s="280">
        <v>4</v>
      </c>
      <c r="H11" s="279">
        <v>0</v>
      </c>
      <c r="I11" s="279">
        <v>0</v>
      </c>
      <c r="J11" s="279">
        <v>0</v>
      </c>
      <c r="K11" s="279">
        <v>0</v>
      </c>
      <c r="L11" s="279">
        <v>0</v>
      </c>
      <c r="M11" s="279">
        <v>0</v>
      </c>
      <c r="N11" s="279">
        <v>0</v>
      </c>
      <c r="O11" s="279">
        <v>0</v>
      </c>
      <c r="P11" s="279">
        <v>0</v>
      </c>
      <c r="Q11" s="279">
        <v>0</v>
      </c>
      <c r="R11" s="279">
        <v>0</v>
      </c>
      <c r="S11" s="279">
        <v>0</v>
      </c>
      <c r="T11" s="279">
        <v>36021.4</v>
      </c>
      <c r="U11" s="279">
        <v>0</v>
      </c>
      <c r="V11" s="279">
        <v>0</v>
      </c>
      <c r="W11" s="279">
        <v>0</v>
      </c>
      <c r="X11" s="279">
        <v>0</v>
      </c>
      <c r="Y11" s="279">
        <v>0</v>
      </c>
      <c r="Z11" s="279">
        <v>0</v>
      </c>
      <c r="AA11" s="279">
        <v>0</v>
      </c>
      <c r="AB11" s="279">
        <v>0</v>
      </c>
      <c r="AC11" s="279">
        <v>0</v>
      </c>
      <c r="AD11" s="279">
        <v>0</v>
      </c>
      <c r="AE11" s="279">
        <v>36021.4</v>
      </c>
      <c r="AF11" s="279">
        <v>36021.4</v>
      </c>
      <c r="AG11" s="279">
        <v>0</v>
      </c>
      <c r="AH11" s="279">
        <v>0</v>
      </c>
      <c r="AI11" s="279">
        <v>0</v>
      </c>
      <c r="AJ11" s="279">
        <v>0</v>
      </c>
      <c r="AK11" s="279">
        <v>0</v>
      </c>
      <c r="AL11" s="279">
        <v>0</v>
      </c>
      <c r="AM11" s="279">
        <v>0</v>
      </c>
      <c r="AN11" s="279">
        <v>0</v>
      </c>
      <c r="AO11" s="279">
        <v>0</v>
      </c>
      <c r="AP11" s="279">
        <v>0</v>
      </c>
      <c r="AQ11" s="279">
        <v>36021.4</v>
      </c>
      <c r="AR11" s="279">
        <v>36021.4</v>
      </c>
      <c r="AS11" s="279">
        <v>0</v>
      </c>
      <c r="AT11" s="279">
        <v>0</v>
      </c>
      <c r="AU11" s="279">
        <v>0</v>
      </c>
      <c r="AV11" s="279">
        <v>0</v>
      </c>
      <c r="AW11" s="279">
        <v>0</v>
      </c>
      <c r="AX11" s="279">
        <v>0</v>
      </c>
      <c r="AY11" s="279">
        <v>0</v>
      </c>
      <c r="AZ11" s="279">
        <v>0</v>
      </c>
      <c r="BA11" s="279">
        <v>0</v>
      </c>
      <c r="BB11" s="279">
        <v>0</v>
      </c>
      <c r="BC11" s="279">
        <v>36021.4</v>
      </c>
      <c r="BD11" s="279">
        <v>0</v>
      </c>
      <c r="BE11" s="279">
        <v>0</v>
      </c>
      <c r="BF11" s="279">
        <v>0</v>
      </c>
      <c r="BG11" s="279">
        <v>0</v>
      </c>
      <c r="BH11" s="279">
        <v>0</v>
      </c>
      <c r="BI11" s="279">
        <v>0</v>
      </c>
      <c r="BJ11" s="279">
        <v>0</v>
      </c>
      <c r="BK11" s="279">
        <v>0</v>
      </c>
      <c r="BL11" s="279">
        <v>0</v>
      </c>
      <c r="BM11" s="279">
        <v>0</v>
      </c>
      <c r="BN11" s="279">
        <v>0</v>
      </c>
      <c r="BO11" s="279">
        <v>0</v>
      </c>
      <c r="BP11" s="279">
        <v>0</v>
      </c>
      <c r="BQ11" s="279">
        <v>0</v>
      </c>
      <c r="BR11" s="279">
        <v>0</v>
      </c>
      <c r="BS11" s="279">
        <v>0</v>
      </c>
      <c r="BT11" s="279">
        <v>0</v>
      </c>
      <c r="BU11" s="279">
        <v>0</v>
      </c>
      <c r="BV11" s="279">
        <v>0</v>
      </c>
      <c r="BW11" s="279">
        <v>0</v>
      </c>
      <c r="BX11" s="279">
        <v>0</v>
      </c>
      <c r="BY11" s="279">
        <v>0</v>
      </c>
      <c r="BZ11" s="279">
        <v>0</v>
      </c>
      <c r="CA11" s="279">
        <v>0</v>
      </c>
    </row>
    <row r="12" spans="1:79" x14ac:dyDescent="0.25">
      <c r="A12" t="s">
        <v>328</v>
      </c>
      <c r="B12" t="s">
        <v>121</v>
      </c>
      <c r="D12" t="s">
        <v>110</v>
      </c>
      <c r="E12" s="280">
        <v>3600</v>
      </c>
      <c r="F12" s="280">
        <v>3600</v>
      </c>
      <c r="G12" s="280">
        <v>3600</v>
      </c>
      <c r="H12" s="279">
        <v>1163720</v>
      </c>
      <c r="I12" s="279">
        <v>0</v>
      </c>
      <c r="J12" s="279">
        <v>0</v>
      </c>
      <c r="K12" s="279">
        <v>0</v>
      </c>
      <c r="L12" s="279">
        <v>0</v>
      </c>
      <c r="M12" s="279">
        <v>0</v>
      </c>
      <c r="N12" s="279">
        <v>0</v>
      </c>
      <c r="O12" s="279">
        <v>0</v>
      </c>
      <c r="P12" s="279">
        <v>0</v>
      </c>
      <c r="Q12" s="279">
        <v>0</v>
      </c>
      <c r="R12" s="279">
        <v>0</v>
      </c>
      <c r="S12" s="279">
        <v>0</v>
      </c>
      <c r="T12" s="279">
        <v>4189392</v>
      </c>
      <c r="U12" s="279">
        <v>0</v>
      </c>
      <c r="V12" s="279">
        <v>0</v>
      </c>
      <c r="W12" s="279">
        <v>0</v>
      </c>
      <c r="X12" s="279">
        <v>0</v>
      </c>
      <c r="Y12" s="279">
        <v>0</v>
      </c>
      <c r="Z12" s="279">
        <v>0</v>
      </c>
      <c r="AA12" s="279">
        <v>0</v>
      </c>
      <c r="AB12" s="279">
        <v>0</v>
      </c>
      <c r="AC12" s="279">
        <v>0</v>
      </c>
      <c r="AD12" s="279">
        <v>0</v>
      </c>
      <c r="AE12" s="279">
        <v>0</v>
      </c>
      <c r="AF12" s="279">
        <v>4189392</v>
      </c>
      <c r="AG12" s="279">
        <v>0</v>
      </c>
      <c r="AH12" s="279">
        <v>0</v>
      </c>
      <c r="AI12" s="279">
        <v>0</v>
      </c>
      <c r="AJ12" s="279">
        <v>0</v>
      </c>
      <c r="AK12" s="279">
        <v>0</v>
      </c>
      <c r="AL12" s="279">
        <v>0</v>
      </c>
      <c r="AM12" s="279">
        <v>0</v>
      </c>
      <c r="AN12" s="279">
        <v>0</v>
      </c>
      <c r="AO12" s="279">
        <v>0</v>
      </c>
      <c r="AP12" s="279">
        <v>0</v>
      </c>
      <c r="AQ12" s="279">
        <v>0</v>
      </c>
      <c r="AR12" s="279">
        <v>4189392</v>
      </c>
      <c r="AS12" s="279">
        <v>0</v>
      </c>
      <c r="AT12" s="279">
        <v>0</v>
      </c>
      <c r="AU12" s="279">
        <v>0</v>
      </c>
      <c r="AV12" s="279">
        <v>0</v>
      </c>
      <c r="AW12" s="279">
        <v>0</v>
      </c>
      <c r="AX12" s="279">
        <v>0</v>
      </c>
      <c r="AY12" s="279">
        <v>0</v>
      </c>
      <c r="AZ12" s="279">
        <v>0</v>
      </c>
      <c r="BA12" s="279">
        <v>0</v>
      </c>
      <c r="BB12" s="279">
        <v>0</v>
      </c>
      <c r="BC12" s="279">
        <v>0</v>
      </c>
      <c r="BD12" s="279">
        <v>1163720</v>
      </c>
      <c r="BE12" s="279">
        <v>0</v>
      </c>
      <c r="BF12" s="279">
        <v>0</v>
      </c>
      <c r="BG12" s="279">
        <v>0</v>
      </c>
      <c r="BH12" s="279">
        <v>0</v>
      </c>
      <c r="BI12" s="279">
        <v>0</v>
      </c>
      <c r="BJ12" s="279">
        <v>0</v>
      </c>
      <c r="BK12" s="279">
        <v>0</v>
      </c>
      <c r="BL12" s="279">
        <v>0</v>
      </c>
      <c r="BM12" s="279">
        <v>0</v>
      </c>
      <c r="BN12" s="279">
        <v>0</v>
      </c>
      <c r="BO12" s="279">
        <v>0</v>
      </c>
      <c r="BP12" s="279">
        <v>1163720</v>
      </c>
      <c r="BQ12" s="279">
        <v>0</v>
      </c>
      <c r="BR12" s="279">
        <v>0</v>
      </c>
      <c r="BS12" s="279">
        <v>0</v>
      </c>
      <c r="BT12" s="279">
        <v>0</v>
      </c>
      <c r="BU12" s="279">
        <v>0</v>
      </c>
      <c r="BV12" s="279">
        <v>0</v>
      </c>
      <c r="BW12" s="279">
        <v>0</v>
      </c>
      <c r="BX12" s="279">
        <v>0</v>
      </c>
      <c r="BY12" s="279">
        <v>0</v>
      </c>
      <c r="BZ12" s="279">
        <v>0</v>
      </c>
      <c r="CA12" s="279">
        <v>0</v>
      </c>
    </row>
    <row r="17" spans="3:3" x14ac:dyDescent="0.25">
      <c r="C17" s="278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203" activePane="bottomRight" state="frozen"/>
      <selection activeCell="A8" sqref="A8"/>
      <selection pane="topRight" activeCell="F8" sqref="F8"/>
      <selection pane="bottomLeft" activeCell="A14" sqref="A14"/>
      <selection pane="bottomRight" activeCell="G17" sqref="G17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305" t="s">
        <v>124</v>
      </c>
      <c r="N1" s="305"/>
      <c r="O1" s="305"/>
      <c r="P1" s="305"/>
      <c r="Q1" s="305"/>
      <c r="R1" s="305"/>
    </row>
    <row r="2" spans="1:18" s="203" customFormat="1" ht="20.25" hidden="1" customHeight="1" x14ac:dyDescent="0.25">
      <c r="D2" s="204"/>
      <c r="E2" s="205"/>
      <c r="M2" s="305" t="s">
        <v>125</v>
      </c>
      <c r="N2" s="305"/>
      <c r="O2" s="305"/>
      <c r="P2" s="305"/>
      <c r="Q2" s="305"/>
      <c r="R2" s="305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306" t="s">
        <v>126</v>
      </c>
      <c r="P4" s="306"/>
      <c r="Q4" s="306"/>
      <c r="R4" s="306"/>
    </row>
    <row r="5" spans="1:18" s="203" customFormat="1" ht="20.25" hidden="1" customHeight="1" x14ac:dyDescent="0.25">
      <c r="D5" s="204"/>
      <c r="E5" s="205"/>
      <c r="M5" s="307" t="s">
        <v>127</v>
      </c>
      <c r="N5" s="307"/>
      <c r="O5" s="307" t="s">
        <v>128</v>
      </c>
      <c r="P5" s="307"/>
      <c r="Q5" s="307"/>
      <c r="R5" s="307"/>
    </row>
    <row r="6" spans="1:18" s="203" customFormat="1" ht="20.25" hidden="1" customHeight="1" x14ac:dyDescent="0.25">
      <c r="D6" s="204"/>
      <c r="E6" s="205"/>
      <c r="N6" s="207" t="s">
        <v>129</v>
      </c>
      <c r="O6" s="208" t="s">
        <v>130</v>
      </c>
      <c r="Q6" s="203" t="s">
        <v>131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304" t="s">
        <v>132</v>
      </c>
      <c r="C10" s="304"/>
      <c r="D10" s="304"/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304"/>
      <c r="R10" s="304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93" t="s">
        <v>133</v>
      </c>
      <c r="B12" s="293" t="s">
        <v>2</v>
      </c>
      <c r="C12" s="293" t="s">
        <v>54</v>
      </c>
      <c r="D12" s="302" t="s">
        <v>3</v>
      </c>
      <c r="E12" s="293" t="s">
        <v>134</v>
      </c>
      <c r="F12" s="293" t="s">
        <v>135</v>
      </c>
      <c r="G12" s="293"/>
      <c r="H12" s="293"/>
      <c r="I12" s="293"/>
      <c r="J12" s="298" t="s">
        <v>136</v>
      </c>
      <c r="K12" s="298"/>
      <c r="L12" s="298"/>
      <c r="M12" s="298"/>
      <c r="N12" s="298"/>
      <c r="O12" s="298"/>
      <c r="P12" s="298"/>
      <c r="Q12" s="298"/>
      <c r="R12" s="293" t="s">
        <v>137</v>
      </c>
    </row>
    <row r="13" spans="1:18" s="214" customFormat="1" ht="36" customHeight="1" x14ac:dyDescent="0.25">
      <c r="A13" s="293"/>
      <c r="B13" s="293"/>
      <c r="C13" s="293"/>
      <c r="D13" s="303"/>
      <c r="E13" s="293"/>
      <c r="F13" s="215" t="s">
        <v>4</v>
      </c>
      <c r="G13" s="215" t="s">
        <v>5</v>
      </c>
      <c r="H13" s="215" t="s">
        <v>115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101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93"/>
    </row>
    <row r="14" spans="1:18" s="214" customFormat="1" ht="31.5" x14ac:dyDescent="0.25">
      <c r="A14" s="215" t="s">
        <v>140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138</v>
      </c>
    </row>
    <row r="15" spans="1:18" s="212" customFormat="1" ht="87" customHeight="1" x14ac:dyDescent="0.25">
      <c r="A15" s="294">
        <v>1</v>
      </c>
      <c r="B15" s="294" t="s">
        <v>139</v>
      </c>
      <c r="C15" s="287" t="s">
        <v>140</v>
      </c>
      <c r="D15" s="216" t="s">
        <v>106</v>
      </c>
      <c r="E15" s="215" t="s">
        <v>141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95"/>
      <c r="B16" s="295"/>
      <c r="C16" s="288"/>
      <c r="D16" s="216" t="s">
        <v>108</v>
      </c>
      <c r="E16" s="219" t="s">
        <v>142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95"/>
      <c r="B17" s="295"/>
      <c r="C17" s="288"/>
      <c r="D17" s="216" t="s">
        <v>109</v>
      </c>
      <c r="E17" s="215" t="s">
        <v>143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95"/>
      <c r="B18" s="295"/>
      <c r="C18" s="288"/>
      <c r="D18" s="221" t="s">
        <v>110</v>
      </c>
      <c r="E18" s="219" t="s">
        <v>142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95"/>
      <c r="B19" s="295"/>
      <c r="C19" s="288"/>
      <c r="D19" s="221" t="s">
        <v>144</v>
      </c>
      <c r="E19" s="299" t="s">
        <v>145</v>
      </c>
      <c r="F19" s="222" t="s">
        <v>140</v>
      </c>
      <c r="G19" s="222" t="s">
        <v>140</v>
      </c>
      <c r="H19" s="222" t="s">
        <v>140</v>
      </c>
      <c r="I19" s="222" t="s">
        <v>140</v>
      </c>
      <c r="J19" s="222" t="s">
        <v>140</v>
      </c>
      <c r="K19" s="222" t="s">
        <v>140</v>
      </c>
      <c r="L19" s="222" t="s">
        <v>140</v>
      </c>
      <c r="M19" s="222" t="s">
        <v>140</v>
      </c>
      <c r="N19" s="222" t="s">
        <v>140</v>
      </c>
      <c r="O19" s="222" t="s">
        <v>140</v>
      </c>
      <c r="P19" s="222" t="s">
        <v>140</v>
      </c>
      <c r="Q19" s="222" t="s">
        <v>140</v>
      </c>
      <c r="R19" s="222" t="s">
        <v>140</v>
      </c>
    </row>
    <row r="20" spans="1:18" s="212" customFormat="1" ht="15.75" x14ac:dyDescent="0.25">
      <c r="A20" s="295"/>
      <c r="B20" s="295"/>
      <c r="C20" s="288"/>
      <c r="D20" s="223" t="s">
        <v>146</v>
      </c>
      <c r="E20" s="300"/>
      <c r="F20" s="222" t="s">
        <v>140</v>
      </c>
      <c r="G20" s="222" t="s">
        <v>140</v>
      </c>
      <c r="H20" s="222" t="s">
        <v>140</v>
      </c>
      <c r="I20" s="222" t="s">
        <v>140</v>
      </c>
      <c r="J20" s="222" t="s">
        <v>140</v>
      </c>
      <c r="K20" s="222" t="s">
        <v>140</v>
      </c>
      <c r="L20" s="222" t="s">
        <v>140</v>
      </c>
      <c r="M20" s="222" t="s">
        <v>140</v>
      </c>
      <c r="N20" s="222" t="s">
        <v>140</v>
      </c>
      <c r="O20" s="222" t="s">
        <v>140</v>
      </c>
      <c r="P20" s="222" t="s">
        <v>140</v>
      </c>
      <c r="Q20" s="222" t="s">
        <v>140</v>
      </c>
      <c r="R20" s="222" t="s">
        <v>140</v>
      </c>
    </row>
    <row r="21" spans="1:18" s="212" customFormat="1" ht="31.5" x14ac:dyDescent="0.25">
      <c r="A21" s="295"/>
      <c r="B21" s="295"/>
      <c r="C21" s="288"/>
      <c r="D21" s="224" t="s">
        <v>147</v>
      </c>
      <c r="E21" s="300"/>
      <c r="F21" s="222" t="s">
        <v>140</v>
      </c>
      <c r="G21" s="222" t="s">
        <v>140</v>
      </c>
      <c r="H21" s="222" t="s">
        <v>140</v>
      </c>
      <c r="I21" s="222" t="s">
        <v>140</v>
      </c>
      <c r="J21" s="222" t="s">
        <v>140</v>
      </c>
      <c r="K21" s="222" t="s">
        <v>140</v>
      </c>
      <c r="L21" s="222" t="s">
        <v>140</v>
      </c>
      <c r="M21" s="222" t="s">
        <v>140</v>
      </c>
      <c r="N21" s="222" t="s">
        <v>140</v>
      </c>
      <c r="O21" s="222" t="s">
        <v>140</v>
      </c>
      <c r="P21" s="222" t="s">
        <v>140</v>
      </c>
      <c r="Q21" s="222" t="s">
        <v>140</v>
      </c>
      <c r="R21" s="222" t="s">
        <v>140</v>
      </c>
    </row>
    <row r="22" spans="1:18" s="212" customFormat="1" ht="15.75" x14ac:dyDescent="0.25">
      <c r="A22" s="295"/>
      <c r="B22" s="295"/>
      <c r="C22" s="288"/>
      <c r="D22" s="225" t="s">
        <v>148</v>
      </c>
      <c r="E22" s="300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95"/>
      <c r="B23" s="295"/>
      <c r="C23" s="288"/>
      <c r="D23" s="225" t="s">
        <v>149</v>
      </c>
      <c r="E23" s="300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95"/>
      <c r="B24" s="295"/>
      <c r="C24" s="288"/>
      <c r="D24" s="225" t="s">
        <v>150</v>
      </c>
      <c r="E24" s="300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95"/>
      <c r="B25" s="295"/>
      <c r="C25" s="288"/>
      <c r="D25" s="225" t="s">
        <v>151</v>
      </c>
      <c r="E25" s="300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95"/>
      <c r="B26" s="295"/>
      <c r="C26" s="288"/>
      <c r="D26" s="225" t="s">
        <v>152</v>
      </c>
      <c r="E26" s="300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95"/>
      <c r="B27" s="295"/>
      <c r="C27" s="288"/>
      <c r="D27" s="228" t="s">
        <v>153</v>
      </c>
      <c r="E27" s="300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95"/>
      <c r="B28" s="295"/>
      <c r="C28" s="288"/>
      <c r="D28" s="225" t="s">
        <v>118</v>
      </c>
      <c r="E28" s="300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95"/>
      <c r="B29" s="295"/>
      <c r="C29" s="288"/>
      <c r="D29" s="230" t="s">
        <v>154</v>
      </c>
      <c r="E29" s="300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95"/>
      <c r="B30" s="295"/>
      <c r="C30" s="288"/>
      <c r="D30" s="225" t="s">
        <v>155</v>
      </c>
      <c r="E30" s="300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95"/>
      <c r="B31" s="295"/>
      <c r="C31" s="288"/>
      <c r="D31" s="225" t="s">
        <v>156</v>
      </c>
      <c r="E31" s="300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95"/>
      <c r="B32" s="295"/>
      <c r="C32" s="288"/>
      <c r="D32" s="230" t="s">
        <v>157</v>
      </c>
      <c r="E32" s="300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95"/>
      <c r="B33" s="295"/>
      <c r="C33" s="288"/>
      <c r="D33" s="230" t="s">
        <v>158</v>
      </c>
      <c r="E33" s="300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95"/>
      <c r="B34" s="295"/>
      <c r="C34" s="288"/>
      <c r="D34" s="230" t="s">
        <v>159</v>
      </c>
      <c r="E34" s="300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95"/>
      <c r="B35" s="295"/>
      <c r="C35" s="288"/>
      <c r="D35" s="230" t="s">
        <v>160</v>
      </c>
      <c r="E35" s="300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95"/>
      <c r="B36" s="295"/>
      <c r="C36" s="288"/>
      <c r="D36" s="230" t="s">
        <v>161</v>
      </c>
      <c r="E36" s="300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95"/>
      <c r="B37" s="295"/>
      <c r="C37" s="288"/>
      <c r="D37" s="228" t="s">
        <v>162</v>
      </c>
      <c r="E37" s="300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95"/>
      <c r="B38" s="295"/>
      <c r="C38" s="288"/>
      <c r="D38" s="230" t="s">
        <v>163</v>
      </c>
      <c r="E38" s="300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95"/>
      <c r="B39" s="295"/>
      <c r="C39" s="288"/>
      <c r="D39" s="232" t="s">
        <v>164</v>
      </c>
      <c r="E39" s="300"/>
      <c r="F39" s="222" t="s">
        <v>140</v>
      </c>
      <c r="G39" s="222" t="s">
        <v>140</v>
      </c>
      <c r="H39" s="222" t="s">
        <v>140</v>
      </c>
      <c r="I39" s="222" t="s">
        <v>140</v>
      </c>
      <c r="J39" s="222" t="s">
        <v>140</v>
      </c>
      <c r="K39" s="222" t="s">
        <v>140</v>
      </c>
      <c r="L39" s="222" t="s">
        <v>140</v>
      </c>
      <c r="M39" s="222" t="s">
        <v>140</v>
      </c>
      <c r="N39" s="222" t="s">
        <v>140</v>
      </c>
      <c r="O39" s="222" t="s">
        <v>140</v>
      </c>
      <c r="P39" s="222" t="s">
        <v>140</v>
      </c>
      <c r="Q39" s="222" t="s">
        <v>140</v>
      </c>
      <c r="R39" s="222" t="s">
        <v>140</v>
      </c>
    </row>
    <row r="40" spans="1:18" s="212" customFormat="1" ht="15.75" x14ac:dyDescent="0.25">
      <c r="A40" s="295"/>
      <c r="B40" s="295"/>
      <c r="C40" s="288"/>
      <c r="D40" s="233" t="s">
        <v>165</v>
      </c>
      <c r="E40" s="300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95"/>
      <c r="B41" s="295"/>
      <c r="C41" s="288"/>
      <c r="D41" s="235" t="s">
        <v>166</v>
      </c>
      <c r="E41" s="300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95"/>
      <c r="B42" s="295"/>
      <c r="C42" s="288"/>
      <c r="D42" s="235" t="s">
        <v>167</v>
      </c>
      <c r="E42" s="300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95"/>
      <c r="B43" s="295"/>
      <c r="C43" s="288"/>
      <c r="D43" s="233" t="s">
        <v>168</v>
      </c>
      <c r="E43" s="300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95"/>
      <c r="B44" s="295"/>
      <c r="C44" s="288"/>
      <c r="D44" s="235" t="s">
        <v>169</v>
      </c>
      <c r="E44" s="300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95"/>
      <c r="B45" s="295"/>
      <c r="C45" s="288"/>
      <c r="D45" s="235" t="s">
        <v>170</v>
      </c>
      <c r="E45" s="300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95"/>
      <c r="B46" s="295"/>
      <c r="C46" s="288"/>
      <c r="D46" s="235" t="s">
        <v>171</v>
      </c>
      <c r="E46" s="300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95"/>
      <c r="B47" s="295"/>
      <c r="C47" s="288"/>
      <c r="D47" s="235" t="s">
        <v>172</v>
      </c>
      <c r="E47" s="300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95"/>
      <c r="B48" s="295"/>
      <c r="C48" s="288"/>
      <c r="D48" s="235" t="s">
        <v>173</v>
      </c>
      <c r="E48" s="300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95"/>
      <c r="B49" s="295"/>
      <c r="C49" s="288"/>
      <c r="D49" s="235" t="s">
        <v>174</v>
      </c>
      <c r="E49" s="300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95"/>
      <c r="B50" s="295"/>
      <c r="C50" s="288"/>
      <c r="D50" s="235" t="s">
        <v>175</v>
      </c>
      <c r="E50" s="300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95"/>
      <c r="B51" s="295"/>
      <c r="C51" s="288"/>
      <c r="D51" s="233" t="s">
        <v>176</v>
      </c>
      <c r="E51" s="300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95"/>
      <c r="B52" s="295"/>
      <c r="C52" s="288"/>
      <c r="D52" s="235" t="s">
        <v>177</v>
      </c>
      <c r="E52" s="300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95"/>
      <c r="B53" s="295"/>
      <c r="C53" s="288"/>
      <c r="D53" s="235" t="s">
        <v>178</v>
      </c>
      <c r="E53" s="300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95"/>
      <c r="B54" s="295"/>
      <c r="C54" s="288"/>
      <c r="D54" s="235" t="s">
        <v>117</v>
      </c>
      <c r="E54" s="300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95"/>
      <c r="B55" s="295"/>
      <c r="C55" s="288"/>
      <c r="D55" s="235" t="s">
        <v>179</v>
      </c>
      <c r="E55" s="300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95"/>
      <c r="B56" s="295"/>
      <c r="C56" s="288"/>
      <c r="D56" s="235" t="s">
        <v>180</v>
      </c>
      <c r="E56" s="300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95"/>
      <c r="B57" s="295"/>
      <c r="C57" s="288"/>
      <c r="D57" s="236" t="s">
        <v>181</v>
      </c>
      <c r="E57" s="300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95"/>
      <c r="B58" s="295"/>
      <c r="C58" s="288"/>
      <c r="D58" s="233" t="s">
        <v>116</v>
      </c>
      <c r="E58" s="300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95"/>
      <c r="B59" s="295"/>
      <c r="C59" s="288"/>
      <c r="D59" s="233" t="s">
        <v>182</v>
      </c>
      <c r="E59" s="300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95"/>
      <c r="B60" s="295"/>
      <c r="C60" s="288"/>
      <c r="D60" s="233" t="s">
        <v>183</v>
      </c>
      <c r="E60" s="301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95"/>
      <c r="B61" s="295"/>
      <c r="C61" s="288"/>
      <c r="D61" s="237" t="s">
        <v>107</v>
      </c>
      <c r="E61" s="299" t="s">
        <v>145</v>
      </c>
      <c r="F61" s="222" t="s">
        <v>140</v>
      </c>
      <c r="G61" s="222" t="s">
        <v>140</v>
      </c>
      <c r="H61" s="222" t="s">
        <v>140</v>
      </c>
      <c r="I61" s="222" t="s">
        <v>140</v>
      </c>
      <c r="J61" s="222" t="s">
        <v>140</v>
      </c>
      <c r="K61" s="222" t="s">
        <v>140</v>
      </c>
      <c r="L61" s="222" t="s">
        <v>140</v>
      </c>
      <c r="M61" s="222" t="s">
        <v>140</v>
      </c>
      <c r="N61" s="222" t="s">
        <v>140</v>
      </c>
      <c r="O61" s="222" t="s">
        <v>140</v>
      </c>
      <c r="P61" s="222" t="s">
        <v>140</v>
      </c>
      <c r="Q61" s="222" t="s">
        <v>140</v>
      </c>
      <c r="R61" s="222" t="s">
        <v>140</v>
      </c>
    </row>
    <row r="62" spans="1:18" s="212" customFormat="1" ht="15.75" x14ac:dyDescent="0.25">
      <c r="A62" s="238"/>
      <c r="B62" s="238"/>
      <c r="C62" s="239"/>
      <c r="D62" s="240" t="s">
        <v>146</v>
      </c>
      <c r="E62" s="300"/>
      <c r="F62" s="222" t="s">
        <v>140</v>
      </c>
      <c r="G62" s="222" t="s">
        <v>140</v>
      </c>
      <c r="H62" s="222" t="s">
        <v>140</v>
      </c>
      <c r="I62" s="222" t="s">
        <v>140</v>
      </c>
      <c r="J62" s="222" t="s">
        <v>140</v>
      </c>
      <c r="K62" s="222" t="s">
        <v>140</v>
      </c>
      <c r="L62" s="222" t="s">
        <v>140</v>
      </c>
      <c r="M62" s="222" t="s">
        <v>140</v>
      </c>
      <c r="N62" s="222" t="s">
        <v>140</v>
      </c>
      <c r="O62" s="222" t="s">
        <v>140</v>
      </c>
      <c r="P62" s="222" t="s">
        <v>140</v>
      </c>
      <c r="Q62" s="222" t="s">
        <v>140</v>
      </c>
      <c r="R62" s="222" t="s">
        <v>140</v>
      </c>
    </row>
    <row r="63" spans="1:18" s="212" customFormat="1" ht="31.5" x14ac:dyDescent="0.25">
      <c r="A63" s="238"/>
      <c r="B63" s="238"/>
      <c r="C63" s="239"/>
      <c r="D63" s="241" t="s">
        <v>147</v>
      </c>
      <c r="E63" s="300"/>
      <c r="F63" s="222" t="s">
        <v>140</v>
      </c>
      <c r="G63" s="222" t="s">
        <v>140</v>
      </c>
      <c r="H63" s="222" t="s">
        <v>140</v>
      </c>
      <c r="I63" s="222" t="s">
        <v>140</v>
      </c>
      <c r="J63" s="222" t="s">
        <v>140</v>
      </c>
      <c r="K63" s="222" t="s">
        <v>140</v>
      </c>
      <c r="L63" s="222" t="s">
        <v>140</v>
      </c>
      <c r="M63" s="222" t="s">
        <v>140</v>
      </c>
      <c r="N63" s="222" t="s">
        <v>140</v>
      </c>
      <c r="O63" s="222" t="s">
        <v>140</v>
      </c>
      <c r="P63" s="222" t="s">
        <v>140</v>
      </c>
      <c r="Q63" s="222" t="s">
        <v>140</v>
      </c>
      <c r="R63" s="222" t="s">
        <v>140</v>
      </c>
    </row>
    <row r="64" spans="1:18" s="212" customFormat="1" ht="15.75" x14ac:dyDescent="0.25">
      <c r="A64" s="238"/>
      <c r="B64" s="238"/>
      <c r="C64" s="239"/>
      <c r="D64" s="235" t="s">
        <v>148</v>
      </c>
      <c r="E64" s="300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149</v>
      </c>
      <c r="E65" s="300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150</v>
      </c>
      <c r="E66" s="300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151</v>
      </c>
      <c r="E67" s="300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184</v>
      </c>
      <c r="E68" s="300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153</v>
      </c>
      <c r="E69" s="300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118</v>
      </c>
      <c r="E70" s="300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154</v>
      </c>
      <c r="E71" s="300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155</v>
      </c>
      <c r="E72" s="300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156</v>
      </c>
      <c r="E73" s="300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185</v>
      </c>
      <c r="E74" s="300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157</v>
      </c>
      <c r="E75" s="300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158</v>
      </c>
      <c r="E76" s="300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159</v>
      </c>
      <c r="E77" s="300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160</v>
      </c>
      <c r="E78" s="300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161</v>
      </c>
      <c r="E79" s="300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162</v>
      </c>
      <c r="E80" s="300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163</v>
      </c>
      <c r="E81" s="300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164</v>
      </c>
      <c r="E82" s="300"/>
      <c r="F82" s="222" t="s">
        <v>140</v>
      </c>
      <c r="G82" s="222" t="s">
        <v>140</v>
      </c>
      <c r="H82" s="222" t="s">
        <v>140</v>
      </c>
      <c r="I82" s="222" t="s">
        <v>140</v>
      </c>
      <c r="J82" s="222" t="s">
        <v>140</v>
      </c>
      <c r="K82" s="222" t="s">
        <v>140</v>
      </c>
      <c r="L82" s="222" t="s">
        <v>140</v>
      </c>
      <c r="M82" s="222" t="s">
        <v>140</v>
      </c>
      <c r="N82" s="222" t="s">
        <v>140</v>
      </c>
      <c r="O82" s="222" t="s">
        <v>140</v>
      </c>
      <c r="P82" s="222" t="s">
        <v>140</v>
      </c>
      <c r="Q82" s="222" t="s">
        <v>140</v>
      </c>
      <c r="R82" s="222" t="s">
        <v>140</v>
      </c>
    </row>
    <row r="83" spans="1:18" s="212" customFormat="1" ht="15.75" x14ac:dyDescent="0.25">
      <c r="A83" s="238"/>
      <c r="B83" s="238"/>
      <c r="C83" s="239"/>
      <c r="D83" s="235" t="s">
        <v>186</v>
      </c>
      <c r="E83" s="300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166</v>
      </c>
      <c r="E84" s="300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167</v>
      </c>
      <c r="E85" s="300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168</v>
      </c>
      <c r="E86" s="300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169</v>
      </c>
      <c r="E87" s="300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170</v>
      </c>
      <c r="E88" s="300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187</v>
      </c>
      <c r="E89" s="300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172</v>
      </c>
      <c r="E90" s="300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173</v>
      </c>
      <c r="E91" s="300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174</v>
      </c>
      <c r="E92" s="300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175</v>
      </c>
      <c r="E93" s="300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176</v>
      </c>
      <c r="E94" s="300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177</v>
      </c>
      <c r="E95" s="300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178</v>
      </c>
      <c r="E96" s="300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117</v>
      </c>
      <c r="E97" s="300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179</v>
      </c>
      <c r="E98" s="300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180</v>
      </c>
      <c r="E99" s="300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181</v>
      </c>
      <c r="E100" s="300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116</v>
      </c>
      <c r="E101" s="300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182</v>
      </c>
      <c r="E102" s="300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183</v>
      </c>
      <c r="E103" s="301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94">
        <v>2</v>
      </c>
      <c r="B104" s="296" t="s">
        <v>188</v>
      </c>
      <c r="C104" s="294" t="s">
        <v>140</v>
      </c>
      <c r="D104" s="216" t="s">
        <v>106</v>
      </c>
      <c r="E104" s="215" t="s">
        <v>141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95"/>
      <c r="B105" s="297"/>
      <c r="C105" s="295"/>
      <c r="D105" s="216" t="s">
        <v>108</v>
      </c>
      <c r="E105" s="219" t="s">
        <v>142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95"/>
      <c r="B106" s="297"/>
      <c r="C106" s="295"/>
      <c r="D106" s="216" t="s">
        <v>109</v>
      </c>
      <c r="E106" s="215" t="s">
        <v>143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95"/>
      <c r="B107" s="297"/>
      <c r="C107" s="295"/>
      <c r="D107" s="221" t="s">
        <v>144</v>
      </c>
      <c r="E107" s="244" t="s">
        <v>145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95"/>
      <c r="B108" s="297"/>
      <c r="C108" s="295"/>
      <c r="D108" s="221" t="s">
        <v>107</v>
      </c>
      <c r="E108" s="244" t="s">
        <v>145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87">
        <v>3</v>
      </c>
      <c r="B109" s="284" t="s">
        <v>189</v>
      </c>
      <c r="C109" s="290" t="s">
        <v>190</v>
      </c>
      <c r="D109" s="245" t="s">
        <v>191</v>
      </c>
      <c r="E109" s="287" t="s">
        <v>192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88"/>
      <c r="B110" s="285"/>
      <c r="C110" s="291"/>
      <c r="D110" s="216" t="s">
        <v>146</v>
      </c>
      <c r="E110" s="288"/>
      <c r="F110" s="222" t="s">
        <v>140</v>
      </c>
      <c r="G110" s="222" t="s">
        <v>140</v>
      </c>
      <c r="H110" s="222" t="s">
        <v>140</v>
      </c>
      <c r="I110" s="222" t="s">
        <v>140</v>
      </c>
      <c r="J110" s="222" t="s">
        <v>140</v>
      </c>
      <c r="K110" s="222" t="s">
        <v>140</v>
      </c>
      <c r="L110" s="222" t="s">
        <v>140</v>
      </c>
      <c r="M110" s="222" t="s">
        <v>140</v>
      </c>
      <c r="N110" s="222" t="s">
        <v>140</v>
      </c>
      <c r="O110" s="222" t="s">
        <v>140</v>
      </c>
      <c r="P110" s="222" t="s">
        <v>140</v>
      </c>
      <c r="Q110" s="222" t="s">
        <v>140</v>
      </c>
      <c r="R110" s="222" t="s">
        <v>140</v>
      </c>
    </row>
    <row r="111" spans="1:18" s="212" customFormat="1" ht="31.5" customHeight="1" x14ac:dyDescent="0.25">
      <c r="A111" s="288"/>
      <c r="B111" s="285"/>
      <c r="C111" s="291"/>
      <c r="D111" s="216" t="s">
        <v>193</v>
      </c>
      <c r="E111" s="288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88"/>
      <c r="B112" s="285"/>
      <c r="C112" s="291"/>
      <c r="D112" s="216" t="s">
        <v>194</v>
      </c>
      <c r="E112" s="288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88"/>
      <c r="B113" s="285"/>
      <c r="C113" s="291"/>
      <c r="D113" s="216" t="s">
        <v>195</v>
      </c>
      <c r="E113" s="288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88"/>
      <c r="B114" s="285"/>
      <c r="C114" s="291"/>
      <c r="D114" s="216" t="s">
        <v>196</v>
      </c>
      <c r="E114" s="288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88"/>
      <c r="B115" s="285"/>
      <c r="C115" s="292"/>
      <c r="D115" s="216" t="s">
        <v>189</v>
      </c>
      <c r="E115" s="289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88"/>
      <c r="B116" s="285"/>
      <c r="C116" s="290" t="s">
        <v>197</v>
      </c>
      <c r="D116" s="245" t="s">
        <v>191</v>
      </c>
      <c r="E116" s="287" t="s">
        <v>192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88"/>
      <c r="B117" s="285"/>
      <c r="C117" s="291"/>
      <c r="D117" s="216" t="s">
        <v>146</v>
      </c>
      <c r="E117" s="288"/>
      <c r="F117" s="222" t="s">
        <v>140</v>
      </c>
      <c r="G117" s="222" t="s">
        <v>140</v>
      </c>
      <c r="H117" s="222" t="s">
        <v>140</v>
      </c>
      <c r="I117" s="222" t="s">
        <v>140</v>
      </c>
      <c r="J117" s="222" t="s">
        <v>140</v>
      </c>
      <c r="K117" s="222" t="s">
        <v>140</v>
      </c>
      <c r="L117" s="222" t="s">
        <v>140</v>
      </c>
      <c r="M117" s="222" t="s">
        <v>140</v>
      </c>
      <c r="N117" s="222" t="s">
        <v>140</v>
      </c>
      <c r="O117" s="222" t="s">
        <v>140</v>
      </c>
      <c r="P117" s="222" t="s">
        <v>140</v>
      </c>
      <c r="Q117" s="222" t="s">
        <v>140</v>
      </c>
      <c r="R117" s="222" t="s">
        <v>140</v>
      </c>
    </row>
    <row r="118" spans="1:18" s="212" customFormat="1" ht="24" customHeight="1" x14ac:dyDescent="0.25">
      <c r="A118" s="288"/>
      <c r="B118" s="285"/>
      <c r="C118" s="291"/>
      <c r="D118" s="216" t="s">
        <v>198</v>
      </c>
      <c r="E118" s="288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88"/>
      <c r="B119" s="285"/>
      <c r="C119" s="291"/>
      <c r="D119" s="216" t="s">
        <v>194</v>
      </c>
      <c r="E119" s="288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88"/>
      <c r="B120" s="285"/>
      <c r="C120" s="291"/>
      <c r="D120" s="216" t="s">
        <v>195</v>
      </c>
      <c r="E120" s="288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88"/>
      <c r="B121" s="285"/>
      <c r="C121" s="291"/>
      <c r="D121" s="216" t="s">
        <v>196</v>
      </c>
      <c r="E121" s="288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289"/>
      <c r="B122" s="286"/>
      <c r="C122" s="292"/>
      <c r="D122" s="216" t="s">
        <v>189</v>
      </c>
      <c r="E122" s="289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87">
        <v>4</v>
      </c>
      <c r="B123" s="287" t="s">
        <v>199</v>
      </c>
      <c r="C123" s="284" t="s">
        <v>111</v>
      </c>
      <c r="D123" s="245" t="s">
        <v>191</v>
      </c>
      <c r="E123" s="293" t="s">
        <v>192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88"/>
      <c r="B124" s="288"/>
      <c r="C124" s="285"/>
      <c r="D124" s="216" t="s">
        <v>146</v>
      </c>
      <c r="E124" s="293"/>
      <c r="F124" s="222" t="s">
        <v>140</v>
      </c>
      <c r="G124" s="222" t="s">
        <v>140</v>
      </c>
      <c r="H124" s="222" t="s">
        <v>140</v>
      </c>
      <c r="I124" s="222" t="s">
        <v>140</v>
      </c>
      <c r="J124" s="222" t="s">
        <v>140</v>
      </c>
      <c r="K124" s="222" t="s">
        <v>140</v>
      </c>
      <c r="L124" s="222" t="s">
        <v>140</v>
      </c>
      <c r="M124" s="222" t="s">
        <v>140</v>
      </c>
      <c r="N124" s="222" t="s">
        <v>140</v>
      </c>
      <c r="O124" s="222" t="s">
        <v>140</v>
      </c>
      <c r="P124" s="222" t="s">
        <v>140</v>
      </c>
      <c r="Q124" s="222" t="s">
        <v>140</v>
      </c>
      <c r="R124" s="222" t="s">
        <v>140</v>
      </c>
    </row>
    <row r="125" spans="1:18" s="212" customFormat="1" ht="41.25" customHeight="1" x14ac:dyDescent="0.25">
      <c r="A125" s="288"/>
      <c r="B125" s="288"/>
      <c r="C125" s="285"/>
      <c r="D125" s="216" t="s">
        <v>200</v>
      </c>
      <c r="E125" s="293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88"/>
      <c r="B126" s="288"/>
      <c r="C126" s="285"/>
      <c r="D126" s="216" t="s">
        <v>201</v>
      </c>
      <c r="E126" s="293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88"/>
      <c r="B127" s="288"/>
      <c r="C127" s="285"/>
      <c r="D127" s="216" t="s">
        <v>202</v>
      </c>
      <c r="E127" s="293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88"/>
      <c r="B128" s="288"/>
      <c r="C128" s="285"/>
      <c r="D128" s="216" t="s">
        <v>203</v>
      </c>
      <c r="E128" s="293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88"/>
      <c r="B129" s="288"/>
      <c r="C129" s="285"/>
      <c r="D129" s="216" t="s">
        <v>204</v>
      </c>
      <c r="E129" s="293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88"/>
      <c r="B130" s="288"/>
      <c r="C130" s="285"/>
      <c r="D130" s="216" t="s">
        <v>205</v>
      </c>
      <c r="E130" s="293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88"/>
      <c r="B131" s="288"/>
      <c r="C131" s="285"/>
      <c r="D131" s="216" t="s">
        <v>206</v>
      </c>
      <c r="E131" s="293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88"/>
      <c r="B132" s="288"/>
      <c r="C132" s="285"/>
      <c r="D132" s="250" t="s">
        <v>207</v>
      </c>
      <c r="E132" s="293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88"/>
      <c r="B133" s="288"/>
      <c r="C133" s="285"/>
      <c r="D133" s="250" t="s">
        <v>208</v>
      </c>
      <c r="E133" s="293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88"/>
      <c r="B134" s="288"/>
      <c r="C134" s="285"/>
      <c r="D134" s="250" t="s">
        <v>209</v>
      </c>
      <c r="E134" s="293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88"/>
      <c r="B135" s="288"/>
      <c r="C135" s="286"/>
      <c r="D135" s="251" t="s">
        <v>210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88"/>
      <c r="B136" s="288"/>
      <c r="C136" s="284" t="s">
        <v>112</v>
      </c>
      <c r="D136" s="245" t="s">
        <v>191</v>
      </c>
      <c r="E136" s="293" t="s">
        <v>192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88"/>
      <c r="B137" s="288"/>
      <c r="C137" s="285"/>
      <c r="D137" s="216" t="s">
        <v>146</v>
      </c>
      <c r="E137" s="293"/>
      <c r="F137" s="222" t="s">
        <v>140</v>
      </c>
      <c r="G137" s="222" t="s">
        <v>140</v>
      </c>
      <c r="H137" s="222" t="s">
        <v>140</v>
      </c>
      <c r="I137" s="222" t="s">
        <v>140</v>
      </c>
      <c r="J137" s="222" t="s">
        <v>140</v>
      </c>
      <c r="K137" s="222" t="s">
        <v>140</v>
      </c>
      <c r="L137" s="222" t="s">
        <v>140</v>
      </c>
      <c r="M137" s="222" t="s">
        <v>140</v>
      </c>
      <c r="N137" s="222" t="s">
        <v>140</v>
      </c>
      <c r="O137" s="222" t="s">
        <v>140</v>
      </c>
      <c r="P137" s="222" t="s">
        <v>140</v>
      </c>
      <c r="Q137" s="222" t="s">
        <v>140</v>
      </c>
      <c r="R137" s="222" t="s">
        <v>140</v>
      </c>
    </row>
    <row r="138" spans="1:18" s="212" customFormat="1" ht="24" customHeight="1" x14ac:dyDescent="0.25">
      <c r="A138" s="288"/>
      <c r="B138" s="288"/>
      <c r="C138" s="285"/>
      <c r="D138" s="216" t="s">
        <v>200</v>
      </c>
      <c r="E138" s="293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88"/>
      <c r="B139" s="288"/>
      <c r="C139" s="285"/>
      <c r="D139" s="216" t="s">
        <v>201</v>
      </c>
      <c r="E139" s="293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88"/>
      <c r="B140" s="288"/>
      <c r="C140" s="285"/>
      <c r="D140" s="216" t="s">
        <v>211</v>
      </c>
      <c r="E140" s="293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88"/>
      <c r="B141" s="288"/>
      <c r="C141" s="285"/>
      <c r="D141" s="216" t="s">
        <v>202</v>
      </c>
      <c r="E141" s="293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88"/>
      <c r="B142" s="288"/>
      <c r="C142" s="285"/>
      <c r="D142" s="216" t="s">
        <v>212</v>
      </c>
      <c r="E142" s="293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88"/>
      <c r="B143" s="288"/>
      <c r="C143" s="285"/>
      <c r="D143" s="251" t="s">
        <v>204</v>
      </c>
      <c r="E143" s="293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88"/>
      <c r="B144" s="288"/>
      <c r="C144" s="285"/>
      <c r="D144" s="251" t="s">
        <v>205</v>
      </c>
      <c r="E144" s="293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88"/>
      <c r="B145" s="288"/>
      <c r="C145" s="285"/>
      <c r="D145" s="251" t="s">
        <v>206</v>
      </c>
      <c r="E145" s="293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88"/>
      <c r="B146" s="288"/>
      <c r="C146" s="285"/>
      <c r="D146" s="251" t="s">
        <v>207</v>
      </c>
      <c r="E146" s="293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88"/>
      <c r="B147" s="288"/>
      <c r="C147" s="285"/>
      <c r="D147" s="216" t="s">
        <v>213</v>
      </c>
      <c r="E147" s="293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88"/>
      <c r="B148" s="288"/>
      <c r="C148" s="285"/>
      <c r="D148" s="216" t="s">
        <v>214</v>
      </c>
      <c r="E148" s="293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88"/>
      <c r="B149" s="288"/>
      <c r="C149" s="285"/>
      <c r="D149" s="216" t="s">
        <v>215</v>
      </c>
      <c r="E149" s="293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88"/>
      <c r="B150" s="288"/>
      <c r="C150" s="285"/>
      <c r="D150" s="216" t="s">
        <v>209</v>
      </c>
      <c r="E150" s="293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289"/>
      <c r="B151" s="289"/>
      <c r="C151" s="286"/>
      <c r="D151" s="251" t="s">
        <v>210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87">
        <v>5</v>
      </c>
      <c r="B152" s="284" t="s">
        <v>216</v>
      </c>
      <c r="C152" s="284" t="s">
        <v>217</v>
      </c>
      <c r="D152" s="245" t="s">
        <v>191</v>
      </c>
      <c r="E152" s="287" t="s">
        <v>192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88"/>
      <c r="B153" s="285"/>
      <c r="C153" s="285"/>
      <c r="D153" s="216" t="s">
        <v>146</v>
      </c>
      <c r="E153" s="288"/>
      <c r="F153" s="222" t="s">
        <v>140</v>
      </c>
      <c r="G153" s="222" t="s">
        <v>140</v>
      </c>
      <c r="H153" s="222" t="s">
        <v>140</v>
      </c>
      <c r="I153" s="222" t="s">
        <v>140</v>
      </c>
      <c r="J153" s="222" t="s">
        <v>140</v>
      </c>
      <c r="K153" s="222" t="s">
        <v>140</v>
      </c>
      <c r="L153" s="222" t="s">
        <v>140</v>
      </c>
      <c r="M153" s="222" t="s">
        <v>140</v>
      </c>
      <c r="N153" s="222" t="s">
        <v>140</v>
      </c>
      <c r="O153" s="222" t="s">
        <v>140</v>
      </c>
      <c r="P153" s="222" t="s">
        <v>140</v>
      </c>
      <c r="Q153" s="222" t="s">
        <v>140</v>
      </c>
      <c r="R153" s="222" t="s">
        <v>140</v>
      </c>
    </row>
    <row r="154" spans="1:18" s="212" customFormat="1" ht="41.25" customHeight="1" x14ac:dyDescent="0.25">
      <c r="A154" s="288"/>
      <c r="B154" s="285"/>
      <c r="C154" s="285"/>
      <c r="D154" s="216" t="s">
        <v>200</v>
      </c>
      <c r="E154" s="288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88"/>
      <c r="B155" s="285"/>
      <c r="C155" s="285"/>
      <c r="D155" s="216" t="s">
        <v>201</v>
      </c>
      <c r="E155" s="288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88"/>
      <c r="B156" s="285"/>
      <c r="C156" s="285"/>
      <c r="D156" s="216" t="s">
        <v>202</v>
      </c>
      <c r="E156" s="288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88"/>
      <c r="B157" s="285"/>
      <c r="C157" s="285"/>
      <c r="D157" s="216" t="s">
        <v>218</v>
      </c>
      <c r="E157" s="288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88"/>
      <c r="B158" s="285"/>
      <c r="C158" s="285"/>
      <c r="D158" s="216" t="s">
        <v>219</v>
      </c>
      <c r="E158" s="288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88"/>
      <c r="B159" s="285"/>
      <c r="C159" s="285"/>
      <c r="D159" s="216" t="s">
        <v>206</v>
      </c>
      <c r="E159" s="288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88"/>
      <c r="B160" s="285"/>
      <c r="C160" s="285"/>
      <c r="D160" s="216" t="s">
        <v>207</v>
      </c>
      <c r="E160" s="288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88"/>
      <c r="B161" s="285"/>
      <c r="C161" s="285"/>
      <c r="D161" s="216" t="s">
        <v>213</v>
      </c>
      <c r="E161" s="288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88"/>
      <c r="B162" s="285"/>
      <c r="C162" s="285"/>
      <c r="D162" s="216" t="s">
        <v>214</v>
      </c>
      <c r="E162" s="288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88"/>
      <c r="B163" s="285"/>
      <c r="C163" s="285"/>
      <c r="D163" s="216" t="s">
        <v>220</v>
      </c>
      <c r="E163" s="288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88"/>
      <c r="B164" s="285"/>
      <c r="C164" s="286"/>
      <c r="D164" s="251" t="s">
        <v>221</v>
      </c>
      <c r="E164" s="289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88"/>
      <c r="B165" s="285"/>
      <c r="C165" s="284" t="s">
        <v>222</v>
      </c>
      <c r="D165" s="245" t="s">
        <v>191</v>
      </c>
      <c r="E165" s="257" t="s">
        <v>192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88"/>
      <c r="B166" s="285"/>
      <c r="C166" s="285"/>
      <c r="D166" s="216" t="s">
        <v>146</v>
      </c>
      <c r="E166" s="258"/>
      <c r="F166" s="222" t="s">
        <v>140</v>
      </c>
      <c r="G166" s="222" t="s">
        <v>140</v>
      </c>
      <c r="H166" s="222" t="s">
        <v>140</v>
      </c>
      <c r="I166" s="222" t="s">
        <v>140</v>
      </c>
      <c r="J166" s="222" t="s">
        <v>140</v>
      </c>
      <c r="K166" s="222" t="s">
        <v>140</v>
      </c>
      <c r="L166" s="222" t="s">
        <v>140</v>
      </c>
      <c r="M166" s="222" t="s">
        <v>140</v>
      </c>
      <c r="N166" s="222" t="s">
        <v>140</v>
      </c>
      <c r="O166" s="222" t="s">
        <v>140</v>
      </c>
      <c r="P166" s="222" t="s">
        <v>140</v>
      </c>
      <c r="Q166" s="222" t="s">
        <v>140</v>
      </c>
      <c r="R166" s="222" t="s">
        <v>140</v>
      </c>
    </row>
    <row r="167" spans="1:18" s="212" customFormat="1" ht="35.25" customHeight="1" x14ac:dyDescent="0.25">
      <c r="A167" s="288"/>
      <c r="B167" s="285"/>
      <c r="C167" s="285"/>
      <c r="D167" s="216" t="s">
        <v>200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88"/>
      <c r="B168" s="285"/>
      <c r="C168" s="285"/>
      <c r="D168" s="216" t="s">
        <v>201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88"/>
      <c r="B169" s="285"/>
      <c r="C169" s="285"/>
      <c r="D169" s="216" t="s">
        <v>223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88"/>
      <c r="B170" s="285"/>
      <c r="C170" s="285"/>
      <c r="D170" s="216" t="s">
        <v>212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88"/>
      <c r="B171" s="285"/>
      <c r="C171" s="285"/>
      <c r="D171" s="216" t="s">
        <v>218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88"/>
      <c r="B172" s="285"/>
      <c r="C172" s="285"/>
      <c r="D172" s="216" t="s">
        <v>219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88"/>
      <c r="B173" s="285"/>
      <c r="C173" s="285"/>
      <c r="D173" s="216" t="s">
        <v>206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88"/>
      <c r="B174" s="285"/>
      <c r="C174" s="285"/>
      <c r="D174" s="216" t="s">
        <v>207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88"/>
      <c r="B175" s="285"/>
      <c r="C175" s="285"/>
      <c r="D175" s="216" t="s">
        <v>224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88"/>
      <c r="B176" s="285"/>
      <c r="C176" s="285"/>
      <c r="D176" s="216" t="s">
        <v>220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289"/>
      <c r="B177" s="286"/>
      <c r="C177" s="286"/>
      <c r="D177" s="251" t="s">
        <v>221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87"/>
      <c r="B178" s="284" t="s">
        <v>216</v>
      </c>
      <c r="C178" s="284" t="s">
        <v>225</v>
      </c>
      <c r="D178" s="245" t="s">
        <v>191</v>
      </c>
      <c r="E178" s="257" t="s">
        <v>192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88"/>
      <c r="B179" s="285"/>
      <c r="C179" s="285"/>
      <c r="D179" s="216" t="s">
        <v>146</v>
      </c>
      <c r="E179" s="258"/>
      <c r="F179" s="222" t="s">
        <v>140</v>
      </c>
      <c r="G179" s="222" t="s">
        <v>140</v>
      </c>
      <c r="H179" s="222" t="s">
        <v>140</v>
      </c>
      <c r="I179" s="222" t="s">
        <v>140</v>
      </c>
      <c r="J179" s="222" t="s">
        <v>140</v>
      </c>
      <c r="K179" s="222" t="s">
        <v>140</v>
      </c>
      <c r="L179" s="222" t="s">
        <v>140</v>
      </c>
      <c r="M179" s="222" t="s">
        <v>140</v>
      </c>
      <c r="N179" s="222" t="s">
        <v>140</v>
      </c>
      <c r="O179" s="222" t="s">
        <v>140</v>
      </c>
      <c r="P179" s="222" t="s">
        <v>140</v>
      </c>
      <c r="Q179" s="222" t="s">
        <v>140</v>
      </c>
      <c r="R179" s="222" t="s">
        <v>140</v>
      </c>
    </row>
    <row r="180" spans="1:18" s="212" customFormat="1" ht="15.75" x14ac:dyDescent="0.25">
      <c r="A180" s="288"/>
      <c r="B180" s="285"/>
      <c r="C180" s="285"/>
      <c r="D180" s="216" t="s">
        <v>200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88"/>
      <c r="B181" s="285"/>
      <c r="C181" s="285"/>
      <c r="D181" s="251" t="s">
        <v>201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88"/>
      <c r="B182" s="285"/>
      <c r="C182" s="285"/>
      <c r="D182" s="251" t="s">
        <v>223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88"/>
      <c r="B183" s="285"/>
      <c r="C183" s="285"/>
      <c r="D183" s="251" t="s">
        <v>212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88"/>
      <c r="B184" s="285"/>
      <c r="C184" s="285"/>
      <c r="D184" s="251" t="s">
        <v>226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88"/>
      <c r="B185" s="285"/>
      <c r="C185" s="285"/>
      <c r="D185" s="251" t="s">
        <v>219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88"/>
      <c r="B186" s="285"/>
      <c r="C186" s="285"/>
      <c r="D186" s="251" t="s">
        <v>207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88"/>
      <c r="B187" s="285"/>
      <c r="C187" s="285"/>
      <c r="D187" s="216" t="s">
        <v>206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88"/>
      <c r="B188" s="285"/>
      <c r="C188" s="285"/>
      <c r="D188" s="216" t="s">
        <v>213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88"/>
      <c r="B189" s="285"/>
      <c r="C189" s="285"/>
      <c r="D189" s="216" t="s">
        <v>214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88"/>
      <c r="B190" s="285"/>
      <c r="C190" s="285"/>
      <c r="D190" s="216" t="s">
        <v>224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88"/>
      <c r="B191" s="285"/>
      <c r="C191" s="285"/>
      <c r="D191" s="216" t="s">
        <v>220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88"/>
      <c r="B192" s="285"/>
      <c r="C192" s="286"/>
      <c r="D192" s="251" t="s">
        <v>221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88"/>
      <c r="B193" s="285"/>
      <c r="C193" s="284" t="s">
        <v>227</v>
      </c>
      <c r="D193" s="245" t="s">
        <v>191</v>
      </c>
      <c r="E193" s="257" t="s">
        <v>192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88"/>
      <c r="B194" s="285"/>
      <c r="C194" s="285"/>
      <c r="D194" s="216" t="s">
        <v>146</v>
      </c>
      <c r="E194" s="258"/>
      <c r="F194" s="222" t="s">
        <v>140</v>
      </c>
      <c r="G194" s="222" t="s">
        <v>140</v>
      </c>
      <c r="H194" s="222" t="s">
        <v>140</v>
      </c>
      <c r="I194" s="222" t="s">
        <v>140</v>
      </c>
      <c r="J194" s="222" t="s">
        <v>140</v>
      </c>
      <c r="K194" s="222" t="s">
        <v>140</v>
      </c>
      <c r="L194" s="222" t="s">
        <v>140</v>
      </c>
      <c r="M194" s="222" t="s">
        <v>140</v>
      </c>
      <c r="N194" s="222" t="s">
        <v>140</v>
      </c>
      <c r="O194" s="222" t="s">
        <v>140</v>
      </c>
      <c r="P194" s="222" t="s">
        <v>140</v>
      </c>
      <c r="Q194" s="222" t="s">
        <v>140</v>
      </c>
      <c r="R194" s="222" t="s">
        <v>140</v>
      </c>
    </row>
    <row r="195" spans="1:18" s="212" customFormat="1" ht="60" customHeight="1" x14ac:dyDescent="0.25">
      <c r="A195" s="288"/>
      <c r="B195" s="285"/>
      <c r="C195" s="285"/>
      <c r="D195" s="216" t="s">
        <v>201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88"/>
      <c r="B196" s="285"/>
      <c r="C196" s="285"/>
      <c r="D196" s="216" t="s">
        <v>223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88"/>
      <c r="B197" s="285"/>
      <c r="C197" s="285"/>
      <c r="D197" s="216" t="s">
        <v>212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88"/>
      <c r="B198" s="285"/>
      <c r="C198" s="285"/>
      <c r="D198" s="216" t="s">
        <v>226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88"/>
      <c r="B199" s="285"/>
      <c r="C199" s="285"/>
      <c r="D199" s="216" t="s">
        <v>206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88"/>
      <c r="B200" s="285"/>
      <c r="C200" s="285"/>
      <c r="D200" s="216" t="s">
        <v>219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88"/>
      <c r="B201" s="285"/>
      <c r="C201" s="285"/>
      <c r="D201" s="216" t="s">
        <v>207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289"/>
      <c r="B202" s="286"/>
      <c r="C202" s="286"/>
      <c r="D202" s="251" t="s">
        <v>221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228</v>
      </c>
      <c r="C203" s="215" t="s">
        <v>140</v>
      </c>
      <c r="D203" s="216" t="s">
        <v>229</v>
      </c>
      <c r="E203" s="215" t="s">
        <v>192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230</v>
      </c>
      <c r="C204" s="215" t="s">
        <v>140</v>
      </c>
      <c r="D204" s="216" t="s">
        <v>140</v>
      </c>
      <c r="E204" s="215" t="s">
        <v>231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232</v>
      </c>
      <c r="C205" s="215" t="s">
        <v>140</v>
      </c>
      <c r="D205" s="216" t="s">
        <v>140</v>
      </c>
      <c r="E205" s="219" t="s">
        <v>233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284">
        <v>9</v>
      </c>
      <c r="B206" s="284" t="s">
        <v>234</v>
      </c>
      <c r="C206" s="215"/>
      <c r="D206" s="216" t="s">
        <v>235</v>
      </c>
      <c r="E206" s="284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285"/>
      <c r="B207" s="285"/>
      <c r="C207" s="215"/>
      <c r="D207" s="216" t="s">
        <v>236</v>
      </c>
      <c r="E207" s="285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286"/>
      <c r="B208" s="286"/>
      <c r="C208" s="252" t="s">
        <v>140</v>
      </c>
      <c r="D208" s="216" t="s">
        <v>237</v>
      </c>
      <c r="E208" s="286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mergeCells count="46">
    <mergeCell ref="B10:R10"/>
    <mergeCell ref="M1:R1"/>
    <mergeCell ref="M2:R2"/>
    <mergeCell ref="O4:R4"/>
    <mergeCell ref="M5:N5"/>
    <mergeCell ref="O5:R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A104:A108"/>
    <mergeCell ref="B104:B108"/>
    <mergeCell ref="C104:C108"/>
    <mergeCell ref="A109:A122"/>
    <mergeCell ref="B109:B122"/>
    <mergeCell ref="C109:C115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</mergeCells>
  <pageMargins left="0.31496062992125984" right="0.70866141732283472" top="0.74803149606299213" bottom="0.35433070866141736" header="0.31496062992125984" footer="0.31496062992125984"/>
  <pageSetup paperSize="8" scale="35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U67"/>
  <sheetViews>
    <sheetView tabSelected="1" view="pageBreakPreview" zoomScale="70" zoomScaleNormal="55" zoomScaleSheetLayoutView="70" workbookViewId="0">
      <pane xSplit="6" ySplit="6" topLeftCell="G43" activePane="bottomRight" state="frozen"/>
      <selection pane="topRight" activeCell="G1" sqref="G1"/>
      <selection pane="bottomLeft" activeCell="A7" sqref="A7"/>
      <selection pane="bottomRight" activeCell="G52" sqref="G52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16384" width="9.140625" style="4"/>
  </cols>
  <sheetData>
    <row r="1" spans="1:21" x14ac:dyDescent="0.25">
      <c r="A1" s="188"/>
      <c r="B1" s="14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4"/>
      <c r="S1" s="14"/>
    </row>
    <row r="2" spans="1:21" x14ac:dyDescent="0.25">
      <c r="A2" s="188"/>
      <c r="B2" s="14"/>
      <c r="C2" s="5" t="s">
        <v>0</v>
      </c>
      <c r="D2" s="308" t="s">
        <v>1</v>
      </c>
      <c r="E2" s="308"/>
      <c r="F2" s="308"/>
      <c r="G2" s="309"/>
      <c r="H2" s="309"/>
      <c r="I2" s="309"/>
      <c r="J2" s="309"/>
      <c r="K2" s="309"/>
      <c r="L2" s="309"/>
      <c r="M2" s="309"/>
      <c r="N2" s="102">
        <v>29</v>
      </c>
      <c r="O2" s="102">
        <v>29</v>
      </c>
      <c r="P2" s="102">
        <v>29</v>
      </c>
      <c r="Q2" s="15"/>
      <c r="R2" s="14"/>
      <c r="S2" s="14"/>
    </row>
    <row r="3" spans="1:21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1" x14ac:dyDescent="0.25">
      <c r="A4" s="325" t="s">
        <v>2</v>
      </c>
      <c r="B4" s="323" t="s">
        <v>54</v>
      </c>
      <c r="C4" s="323" t="s">
        <v>3</v>
      </c>
      <c r="D4" s="324" t="s">
        <v>55</v>
      </c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2" t="s">
        <v>21</v>
      </c>
    </row>
    <row r="5" spans="1:21" x14ac:dyDescent="0.25">
      <c r="A5" s="325"/>
      <c r="B5" s="323"/>
      <c r="C5" s="323"/>
      <c r="D5" s="7" t="s">
        <v>28</v>
      </c>
      <c r="E5" s="7" t="s">
        <v>29</v>
      </c>
      <c r="F5" s="7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22"/>
    </row>
    <row r="6" spans="1:21" ht="27" customHeight="1" x14ac:dyDescent="0.25">
      <c r="A6" s="316" t="s">
        <v>81</v>
      </c>
      <c r="B6" s="317"/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8"/>
    </row>
    <row r="7" spans="1:21" ht="51.75" customHeight="1" x14ac:dyDescent="0.25">
      <c r="A7" s="353" t="s">
        <v>123</v>
      </c>
      <c r="B7" s="335" t="s">
        <v>104</v>
      </c>
      <c r="C7" s="121" t="s">
        <v>25</v>
      </c>
      <c r="D7" s="319" t="s">
        <v>56</v>
      </c>
      <c r="E7" s="320"/>
      <c r="F7" s="321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</row>
    <row r="8" spans="1:21" ht="51.75" customHeight="1" x14ac:dyDescent="0.25">
      <c r="A8" s="354"/>
      <c r="B8" s="330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</row>
    <row r="9" spans="1:21" ht="39" customHeight="1" x14ac:dyDescent="0.25">
      <c r="A9" s="354"/>
      <c r="B9" s="330"/>
      <c r="C9" s="119" t="s">
        <v>23</v>
      </c>
      <c r="D9" s="319" t="s">
        <v>56</v>
      </c>
      <c r="E9" s="320"/>
      <c r="F9" s="321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</row>
    <row r="10" spans="1:21" ht="41.25" customHeight="1" x14ac:dyDescent="0.25">
      <c r="A10" s="354"/>
      <c r="B10" s="330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</row>
    <row r="11" spans="1:21" ht="26.25" customHeight="1" x14ac:dyDescent="0.25">
      <c r="A11" s="354"/>
      <c r="B11" s="330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1" ht="26.25" customHeight="1" x14ac:dyDescent="0.25">
      <c r="A12" s="354"/>
      <c r="B12" s="330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1" ht="26.25" customHeight="1" x14ac:dyDescent="0.25">
      <c r="A13" s="354"/>
      <c r="B13" s="331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1" ht="58.5" customHeight="1" x14ac:dyDescent="0.25">
      <c r="A14" s="354"/>
      <c r="B14" s="335" t="s">
        <v>105</v>
      </c>
      <c r="C14" s="119" t="s">
        <v>26</v>
      </c>
      <c r="D14" s="319" t="s">
        <v>56</v>
      </c>
      <c r="E14" s="320"/>
      <c r="F14" s="321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</row>
    <row r="15" spans="1:21" ht="51.75" customHeight="1" x14ac:dyDescent="0.25">
      <c r="A15" s="354"/>
      <c r="B15" s="330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</row>
    <row r="16" spans="1:21" ht="61.5" customHeight="1" x14ac:dyDescent="0.25">
      <c r="A16" s="354"/>
      <c r="B16" s="330"/>
      <c r="C16" s="119" t="s">
        <v>27</v>
      </c>
      <c r="D16" s="319" t="s">
        <v>56</v>
      </c>
      <c r="E16" s="320"/>
      <c r="F16" s="321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</row>
    <row r="17" spans="1:21" ht="21" customHeight="1" x14ac:dyDescent="0.25">
      <c r="A17" s="354"/>
      <c r="B17" s="330"/>
      <c r="C17" s="332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</row>
    <row r="18" spans="1:21" ht="21" customHeight="1" x14ac:dyDescent="0.25">
      <c r="A18" s="354"/>
      <c r="B18" s="330"/>
      <c r="C18" s="333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</row>
    <row r="19" spans="1:21" ht="21" customHeight="1" x14ac:dyDescent="0.25">
      <c r="A19" s="354"/>
      <c r="B19" s="330"/>
      <c r="C19" s="334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</row>
    <row r="20" spans="1:21" ht="30" customHeight="1" x14ac:dyDescent="0.25">
      <c r="A20" s="354"/>
      <c r="B20" s="330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</row>
    <row r="21" spans="1:21" ht="30" customHeight="1" x14ac:dyDescent="0.25">
      <c r="A21" s="354"/>
      <c r="B21" s="330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</row>
    <row r="22" spans="1:21" ht="30" customHeight="1" x14ac:dyDescent="0.25">
      <c r="A22" s="355"/>
      <c r="B22" s="331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</row>
    <row r="23" spans="1:21" ht="50.25" customHeight="1" x14ac:dyDescent="0.25">
      <c r="A23" s="326" t="s">
        <v>122</v>
      </c>
      <c r="B23" s="322" t="s">
        <v>102</v>
      </c>
      <c r="C23" s="121" t="s">
        <v>30</v>
      </c>
      <c r="D23" s="319" t="s">
        <v>56</v>
      </c>
      <c r="E23" s="320"/>
      <c r="F23" s="321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U23" s="187"/>
    </row>
    <row r="24" spans="1:21" ht="77.25" customHeight="1" x14ac:dyDescent="0.25">
      <c r="A24" s="327"/>
      <c r="B24" s="322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</row>
    <row r="25" spans="1:21" ht="38.25" customHeight="1" x14ac:dyDescent="0.25">
      <c r="A25" s="327"/>
      <c r="B25" s="322" t="s">
        <v>103</v>
      </c>
      <c r="C25" s="121" t="s">
        <v>30</v>
      </c>
      <c r="D25" s="319" t="s">
        <v>56</v>
      </c>
      <c r="E25" s="320"/>
      <c r="F25" s="321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</row>
    <row r="26" spans="1:21" ht="54.75" customHeight="1" x14ac:dyDescent="0.25">
      <c r="A26" s="327"/>
      <c r="B26" s="322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</row>
    <row r="27" spans="1:21" ht="45" customHeight="1" x14ac:dyDescent="0.25">
      <c r="A27" s="328"/>
      <c r="B27" s="322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</row>
    <row r="28" spans="1:21" ht="73.5" customHeight="1" x14ac:dyDescent="0.25">
      <c r="A28" s="326" t="s">
        <v>121</v>
      </c>
      <c r="B28" s="360" t="s">
        <v>106</v>
      </c>
      <c r="C28" s="119" t="s">
        <v>74</v>
      </c>
      <c r="D28" s="319" t="s">
        <v>31</v>
      </c>
      <c r="E28" s="320"/>
      <c r="F28" s="321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</row>
    <row r="29" spans="1:21" ht="82.5" customHeight="1" x14ac:dyDescent="0.25">
      <c r="A29" s="327"/>
      <c r="B29" s="360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</row>
    <row r="30" spans="1:21" ht="63" customHeight="1" x14ac:dyDescent="0.25">
      <c r="A30" s="327"/>
      <c r="B30" s="360" t="s">
        <v>108</v>
      </c>
      <c r="C30" s="119" t="s">
        <v>60</v>
      </c>
      <c r="D30" s="319" t="s">
        <v>32</v>
      </c>
      <c r="E30" s="320"/>
      <c r="F30" s="321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</row>
    <row r="31" spans="1:21" ht="45" x14ac:dyDescent="0.25">
      <c r="A31" s="327"/>
      <c r="B31" s="360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</row>
    <row r="32" spans="1:21" ht="75" x14ac:dyDescent="0.25">
      <c r="A32" s="327"/>
      <c r="B32" s="360" t="s">
        <v>109</v>
      </c>
      <c r="C32" s="119" t="s">
        <v>61</v>
      </c>
      <c r="D32" s="319" t="s">
        <v>33</v>
      </c>
      <c r="E32" s="320"/>
      <c r="F32" s="321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</row>
    <row r="33" spans="1:21" ht="27" customHeight="1" x14ac:dyDescent="0.25">
      <c r="A33" s="327"/>
      <c r="B33" s="360"/>
      <c r="C33" s="357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</row>
    <row r="34" spans="1:21" ht="27" customHeight="1" x14ac:dyDescent="0.25">
      <c r="A34" s="327"/>
      <c r="B34" s="360"/>
      <c r="C34" s="358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</row>
    <row r="35" spans="1:21" ht="27" customHeight="1" x14ac:dyDescent="0.25">
      <c r="A35" s="327"/>
      <c r="B35" s="360"/>
      <c r="C35" s="359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</row>
    <row r="36" spans="1:21" ht="75" x14ac:dyDescent="0.25">
      <c r="A36" s="327"/>
      <c r="B36" s="360"/>
      <c r="C36" s="119" t="s">
        <v>62</v>
      </c>
      <c r="D36" s="319" t="s">
        <v>34</v>
      </c>
      <c r="E36" s="320"/>
      <c r="F36" s="321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</row>
    <row r="37" spans="1:21" ht="60" x14ac:dyDescent="0.25">
      <c r="A37" s="327"/>
      <c r="B37" s="360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</row>
    <row r="38" spans="1:21" ht="81" customHeight="1" x14ac:dyDescent="0.25">
      <c r="A38" s="327"/>
      <c r="B38" s="360" t="s">
        <v>107</v>
      </c>
      <c r="C38" s="119" t="s">
        <v>63</v>
      </c>
      <c r="D38" s="319" t="s">
        <v>34</v>
      </c>
      <c r="E38" s="320"/>
      <c r="F38" s="321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</row>
    <row r="39" spans="1:21" ht="75" x14ac:dyDescent="0.25">
      <c r="A39" s="327"/>
      <c r="B39" s="360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</row>
    <row r="40" spans="1:21" x14ac:dyDescent="0.25">
      <c r="A40" s="327"/>
      <c r="B40" s="195"/>
      <c r="C40" s="120" t="s">
        <v>119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</row>
    <row r="41" spans="1:21" x14ac:dyDescent="0.25">
      <c r="A41" s="327"/>
      <c r="B41" s="195"/>
      <c r="C41" s="120" t="s">
        <v>116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</row>
    <row r="42" spans="1:21" x14ac:dyDescent="0.25">
      <c r="A42" s="327"/>
      <c r="B42" s="195"/>
      <c r="C42" s="120" t="s">
        <v>117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</row>
    <row r="43" spans="1:21" ht="22.5" customHeight="1" x14ac:dyDescent="0.25">
      <c r="A43" s="327"/>
      <c r="B43" s="195"/>
      <c r="C43" s="120" t="s">
        <v>118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</row>
    <row r="44" spans="1:21" ht="63" customHeight="1" x14ac:dyDescent="0.25">
      <c r="A44" s="327"/>
      <c r="B44" s="360" t="s">
        <v>110</v>
      </c>
      <c r="C44" s="119" t="s">
        <v>64</v>
      </c>
      <c r="D44" s="319" t="s">
        <v>32</v>
      </c>
      <c r="E44" s="320"/>
      <c r="F44" s="321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</row>
    <row r="45" spans="1:21" ht="45" x14ac:dyDescent="0.25">
      <c r="A45" s="327"/>
      <c r="B45" s="360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</row>
    <row r="46" spans="1:21" ht="17.25" customHeight="1" x14ac:dyDescent="0.25">
      <c r="A46" s="327"/>
      <c r="B46" s="330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1" ht="17.25" customHeight="1" x14ac:dyDescent="0.25">
      <c r="A47" s="327"/>
      <c r="B47" s="330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</row>
    <row r="48" spans="1:21" ht="17.25" customHeight="1" x14ac:dyDescent="0.25">
      <c r="A48" s="328"/>
      <c r="B48" s="331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</row>
    <row r="49" spans="1:21" ht="24.75" customHeight="1" x14ac:dyDescent="0.25">
      <c r="A49" s="349" t="s">
        <v>328</v>
      </c>
      <c r="B49" s="350"/>
      <c r="C49" s="356" t="s">
        <v>65</v>
      </c>
      <c r="D49" s="356"/>
      <c r="E49" s="356"/>
      <c r="F49" s="356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</row>
    <row r="50" spans="1:21" ht="24.75" customHeight="1" x14ac:dyDescent="0.25">
      <c r="A50" s="343" t="s">
        <v>329</v>
      </c>
      <c r="B50" s="344"/>
      <c r="C50" s="356" t="s">
        <v>66</v>
      </c>
      <c r="D50" s="356"/>
      <c r="E50" s="356"/>
      <c r="F50" s="356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</row>
    <row r="51" spans="1:21" ht="24.75" customHeight="1" x14ac:dyDescent="0.25">
      <c r="A51" s="345"/>
      <c r="B51" s="346"/>
      <c r="C51" s="356" t="s">
        <v>67</v>
      </c>
      <c r="D51" s="356"/>
      <c r="E51" s="356"/>
      <c r="F51" s="356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</row>
    <row r="52" spans="1:21" ht="30" customHeight="1" x14ac:dyDescent="0.25">
      <c r="A52" s="345"/>
      <c r="B52" s="346"/>
      <c r="C52" s="313" t="s">
        <v>28</v>
      </c>
      <c r="D52" s="310" t="s">
        <v>20</v>
      </c>
      <c r="E52" s="310"/>
      <c r="F52" s="310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</row>
    <row r="53" spans="1:21" ht="30" customHeight="1" x14ac:dyDescent="0.25">
      <c r="A53" s="345"/>
      <c r="B53" s="346"/>
      <c r="C53" s="313"/>
      <c r="D53" s="310" t="s">
        <v>21</v>
      </c>
      <c r="E53" s="310"/>
      <c r="F53" s="310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1" ht="30" customHeight="1" x14ac:dyDescent="0.25">
      <c r="A54" s="345"/>
      <c r="B54" s="346"/>
      <c r="C54" s="314" t="s">
        <v>29</v>
      </c>
      <c r="D54" s="311" t="s">
        <v>20</v>
      </c>
      <c r="E54" s="311"/>
      <c r="F54" s="311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</row>
    <row r="55" spans="1:21" ht="30" customHeight="1" x14ac:dyDescent="0.25">
      <c r="A55" s="345"/>
      <c r="B55" s="346"/>
      <c r="C55" s="314"/>
      <c r="D55" s="311" t="s">
        <v>21</v>
      </c>
      <c r="E55" s="311"/>
      <c r="F55" s="311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1" ht="30" customHeight="1" x14ac:dyDescent="0.25">
      <c r="A56" s="345"/>
      <c r="B56" s="346"/>
      <c r="C56" s="315" t="s">
        <v>241</v>
      </c>
      <c r="D56" s="329" t="s">
        <v>20</v>
      </c>
      <c r="E56" s="329"/>
      <c r="F56" s="329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</row>
    <row r="57" spans="1:21" ht="30" customHeight="1" x14ac:dyDescent="0.25">
      <c r="A57" s="347"/>
      <c r="B57" s="348"/>
      <c r="C57" s="315"/>
      <c r="D57" s="329" t="s">
        <v>21</v>
      </c>
      <c r="E57" s="329"/>
      <c r="F57" s="329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1" x14ac:dyDescent="0.25">
      <c r="A58" s="323" t="s">
        <v>82</v>
      </c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</row>
    <row r="59" spans="1:21" ht="53.25" customHeight="1" x14ac:dyDescent="0.25">
      <c r="A59" s="339" t="s">
        <v>120</v>
      </c>
      <c r="B59" s="341" t="s">
        <v>18</v>
      </c>
      <c r="C59" s="9" t="s">
        <v>16</v>
      </c>
      <c r="D59" s="312" t="s">
        <v>22</v>
      </c>
      <c r="E59" s="312"/>
      <c r="F59" s="312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</row>
    <row r="60" spans="1:21" ht="39" customHeight="1" x14ac:dyDescent="0.25">
      <c r="A60" s="340"/>
      <c r="B60" s="342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</row>
    <row r="61" spans="1:21" ht="33.75" customHeight="1" x14ac:dyDescent="0.25">
      <c r="A61" s="351" t="s">
        <v>332</v>
      </c>
      <c r="B61" s="352"/>
      <c r="C61" s="336" t="s">
        <v>72</v>
      </c>
      <c r="D61" s="337"/>
      <c r="E61" s="337"/>
      <c r="F61" s="338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1" ht="27" customHeight="1" x14ac:dyDescent="0.25">
      <c r="A62" s="345" t="s">
        <v>330</v>
      </c>
      <c r="B62" s="346"/>
      <c r="C62" s="313" t="s">
        <v>28</v>
      </c>
      <c r="D62" s="310" t="s">
        <v>20</v>
      </c>
      <c r="E62" s="310"/>
      <c r="F62" s="310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1" ht="27" customHeight="1" x14ac:dyDescent="0.25">
      <c r="A63" s="345"/>
      <c r="B63" s="346"/>
      <c r="C63" s="313"/>
      <c r="D63" s="310" t="s">
        <v>21</v>
      </c>
      <c r="E63" s="310"/>
      <c r="F63" s="310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1" ht="27" customHeight="1" x14ac:dyDescent="0.25">
      <c r="A64" s="345"/>
      <c r="B64" s="346"/>
      <c r="C64" s="314" t="s">
        <v>29</v>
      </c>
      <c r="D64" s="311" t="s">
        <v>20</v>
      </c>
      <c r="E64" s="311"/>
      <c r="F64" s="311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45"/>
      <c r="B65" s="346"/>
      <c r="C65" s="314"/>
      <c r="D65" s="311" t="s">
        <v>21</v>
      </c>
      <c r="E65" s="311"/>
      <c r="F65" s="311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45"/>
      <c r="B66" s="346"/>
      <c r="C66" s="315" t="s">
        <v>241</v>
      </c>
      <c r="D66" s="329" t="s">
        <v>20</v>
      </c>
      <c r="E66" s="329"/>
      <c r="F66" s="329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47"/>
      <c r="B67" s="348"/>
      <c r="C67" s="315"/>
      <c r="D67" s="329" t="s">
        <v>21</v>
      </c>
      <c r="E67" s="329"/>
      <c r="F67" s="329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  <mergeCell ref="B46:B48"/>
    <mergeCell ref="C17:C19"/>
    <mergeCell ref="B14:B22"/>
    <mergeCell ref="C61:F61"/>
    <mergeCell ref="A59:A60"/>
    <mergeCell ref="B59:B60"/>
    <mergeCell ref="A50:B57"/>
    <mergeCell ref="A49:B49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</mergeCells>
  <pageMargins left="0.25" right="0.25" top="0.75" bottom="0.75" header="0.3" footer="0.3"/>
  <pageSetup paperSize="8" scale="41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B34" zoomScale="60" zoomScaleNormal="55" workbookViewId="0">
      <selection activeCell="K11" sqref="K11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3" ht="15" customHeight="1" x14ac:dyDescent="0.25">
      <c r="A1" s="14"/>
      <c r="B1" s="14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4"/>
      <c r="S1" s="14"/>
    </row>
    <row r="2" spans="1:23" ht="15" customHeight="1" x14ac:dyDescent="0.25">
      <c r="A2" s="14"/>
      <c r="B2" s="14"/>
      <c r="C2" s="5" t="s">
        <v>0</v>
      </c>
      <c r="D2" s="364" t="s">
        <v>35</v>
      </c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14"/>
    </row>
    <row r="3" spans="1:23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ht="15" customHeight="1" x14ac:dyDescent="0.25">
      <c r="A4" s="323" t="s">
        <v>2</v>
      </c>
      <c r="B4" s="323" t="s">
        <v>54</v>
      </c>
      <c r="C4" s="323" t="s">
        <v>3</v>
      </c>
      <c r="D4" s="324" t="s">
        <v>55</v>
      </c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66"/>
      <c r="T4" s="322" t="s">
        <v>21</v>
      </c>
      <c r="U4" s="179"/>
      <c r="V4" s="179"/>
      <c r="W4" s="179"/>
    </row>
    <row r="5" spans="1:23" x14ac:dyDescent="0.25">
      <c r="A5" s="323"/>
      <c r="B5" s="323"/>
      <c r="C5" s="323"/>
      <c r="D5" s="263" t="s">
        <v>28</v>
      </c>
      <c r="E5" s="263" t="s">
        <v>29</v>
      </c>
      <c r="F5" s="263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22"/>
      <c r="U5" s="179"/>
      <c r="V5" s="179"/>
      <c r="W5" s="179"/>
    </row>
    <row r="6" spans="1:23" ht="46.5" customHeight="1" x14ac:dyDescent="0.25">
      <c r="A6" s="367" t="s">
        <v>250</v>
      </c>
      <c r="B6" s="368"/>
      <c r="C6" s="368"/>
      <c r="D6" s="368"/>
      <c r="E6" s="368"/>
      <c r="F6" s="368"/>
      <c r="G6" s="368"/>
      <c r="H6" s="368"/>
      <c r="I6" s="368"/>
      <c r="J6" s="368"/>
      <c r="K6" s="368"/>
      <c r="L6" s="368"/>
      <c r="M6" s="368"/>
      <c r="N6" s="368"/>
      <c r="O6" s="368"/>
      <c r="P6" s="368"/>
      <c r="Q6" s="368"/>
      <c r="R6" s="368"/>
      <c r="S6" s="368"/>
      <c r="T6" s="369"/>
      <c r="U6" s="180"/>
      <c r="V6" s="180"/>
      <c r="W6" s="180"/>
    </row>
    <row r="7" spans="1:23" ht="52.5" customHeight="1" x14ac:dyDescent="0.25">
      <c r="A7" s="335" t="s">
        <v>88</v>
      </c>
      <c r="B7" s="335" t="s">
        <v>112</v>
      </c>
      <c r="C7" s="17" t="s">
        <v>43</v>
      </c>
      <c r="D7" s="319" t="s">
        <v>36</v>
      </c>
      <c r="E7" s="320"/>
      <c r="F7" s="370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</row>
    <row r="8" spans="1:23" ht="45" customHeight="1" x14ac:dyDescent="0.25">
      <c r="A8" s="330"/>
      <c r="B8" s="330"/>
      <c r="C8" s="380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98</v>
      </c>
      <c r="W8" s="187" t="s">
        <v>98</v>
      </c>
    </row>
    <row r="9" spans="1:23" ht="45" customHeight="1" x14ac:dyDescent="0.25">
      <c r="A9" s="330"/>
      <c r="B9" s="200"/>
      <c r="C9" s="381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</row>
    <row r="10" spans="1:23" ht="45" customHeight="1" x14ac:dyDescent="0.25">
      <c r="A10" s="330"/>
      <c r="B10" s="200"/>
      <c r="C10" s="382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</row>
    <row r="11" spans="1:23" ht="45" customHeight="1" x14ac:dyDescent="0.25">
      <c r="A11" s="330"/>
      <c r="B11" s="335" t="s">
        <v>111</v>
      </c>
      <c r="C11" s="121" t="s">
        <v>37</v>
      </c>
      <c r="D11" s="319" t="s">
        <v>83</v>
      </c>
      <c r="E11" s="320"/>
      <c r="F11" s="321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</row>
    <row r="12" spans="1:23" ht="30" x14ac:dyDescent="0.25">
      <c r="A12" s="330"/>
      <c r="B12" s="330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</row>
    <row r="13" spans="1:23" ht="120" x14ac:dyDescent="0.25">
      <c r="A13" s="330"/>
      <c r="B13" s="330"/>
      <c r="C13" s="121" t="s">
        <v>38</v>
      </c>
      <c r="D13" s="319" t="s">
        <v>83</v>
      </c>
      <c r="E13" s="320"/>
      <c r="F13" s="321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</row>
    <row r="14" spans="1:23" ht="120" customHeight="1" x14ac:dyDescent="0.25">
      <c r="A14" s="330"/>
      <c r="B14" s="330"/>
      <c r="C14" s="380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</row>
    <row r="15" spans="1:23" x14ac:dyDescent="0.25">
      <c r="A15" s="330"/>
      <c r="B15" s="330"/>
      <c r="C15" s="381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</row>
    <row r="16" spans="1:23" x14ac:dyDescent="0.25">
      <c r="A16" s="330"/>
      <c r="B16" s="330"/>
      <c r="C16" s="382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</row>
    <row r="17" spans="1:24" ht="47.25" customHeight="1" x14ac:dyDescent="0.25">
      <c r="A17" s="330"/>
      <c r="B17" s="330"/>
      <c r="C17" s="121" t="s">
        <v>39</v>
      </c>
      <c r="D17" s="319" t="s">
        <v>83</v>
      </c>
      <c r="E17" s="320"/>
      <c r="F17" s="321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</row>
    <row r="18" spans="1:24" ht="45" x14ac:dyDescent="0.25">
      <c r="A18" s="330"/>
      <c r="B18" s="330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</row>
    <row r="19" spans="1:24" x14ac:dyDescent="0.25">
      <c r="A19" s="331"/>
      <c r="B19" s="331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99</v>
      </c>
      <c r="W19" s="187" t="s">
        <v>100</v>
      </c>
      <c r="X19" s="4" t="s">
        <v>97</v>
      </c>
    </row>
    <row r="20" spans="1:24" x14ac:dyDescent="0.25">
      <c r="A20" s="268"/>
      <c r="B20" s="269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239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71" t="s">
        <v>249</v>
      </c>
      <c r="B22" s="372"/>
      <c r="C22" s="356" t="s">
        <v>66</v>
      </c>
      <c r="D22" s="356"/>
      <c r="E22" s="356"/>
      <c r="F22" s="356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73"/>
      <c r="B23" s="374"/>
      <c r="C23" s="356" t="s">
        <v>67</v>
      </c>
      <c r="D23" s="356"/>
      <c r="E23" s="356"/>
      <c r="F23" s="356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73"/>
      <c r="B24" s="374"/>
      <c r="C24" s="356" t="s">
        <v>238</v>
      </c>
      <c r="D24" s="356"/>
      <c r="E24" s="356"/>
      <c r="F24" s="356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73"/>
      <c r="B25" s="374"/>
      <c r="C25" s="313" t="s">
        <v>28</v>
      </c>
      <c r="D25" s="310" t="s">
        <v>20</v>
      </c>
      <c r="E25" s="310"/>
      <c r="F25" s="310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73"/>
      <c r="B26" s="374"/>
      <c r="C26" s="313"/>
      <c r="D26" s="377" t="s">
        <v>21</v>
      </c>
      <c r="E26" s="377"/>
      <c r="F26" s="377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73"/>
      <c r="B27" s="374"/>
      <c r="C27" s="314" t="s">
        <v>29</v>
      </c>
      <c r="D27" s="311" t="s">
        <v>20</v>
      </c>
      <c r="E27" s="311"/>
      <c r="F27" s="311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73"/>
      <c r="B28" s="374"/>
      <c r="C28" s="314"/>
      <c r="D28" s="378" t="s">
        <v>21</v>
      </c>
      <c r="E28" s="378"/>
      <c r="F28" s="378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73"/>
      <c r="B29" s="374"/>
      <c r="C29" s="315" t="s">
        <v>241</v>
      </c>
      <c r="D29" s="329" t="s">
        <v>20</v>
      </c>
      <c r="E29" s="329"/>
      <c r="F29" s="329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75"/>
      <c r="B30" s="376"/>
      <c r="C30" s="315"/>
      <c r="D30" s="379" t="s">
        <v>21</v>
      </c>
      <c r="E30" s="379"/>
      <c r="F30" s="379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61" t="s">
        <v>246</v>
      </c>
      <c r="B31" s="362"/>
      <c r="C31" s="362"/>
      <c r="D31" s="362"/>
      <c r="E31" s="362"/>
      <c r="F31" s="362"/>
      <c r="G31" s="362"/>
      <c r="H31" s="362"/>
      <c r="I31" s="362"/>
      <c r="J31" s="362"/>
      <c r="K31" s="362"/>
      <c r="L31" s="362"/>
      <c r="M31" s="362"/>
      <c r="N31" s="362"/>
      <c r="O31" s="362"/>
      <c r="P31" s="362"/>
      <c r="Q31" s="362"/>
      <c r="R31" s="362"/>
      <c r="S31" s="362"/>
      <c r="T31" s="363"/>
      <c r="U31" s="186"/>
      <c r="V31" s="186"/>
      <c r="W31" s="186"/>
    </row>
    <row r="32" spans="1:24" ht="54.75" customHeight="1" x14ac:dyDescent="0.25">
      <c r="A32" s="335" t="s">
        <v>89</v>
      </c>
      <c r="B32" s="335" t="s">
        <v>102</v>
      </c>
      <c r="C32" s="9" t="s">
        <v>30</v>
      </c>
      <c r="D32" s="319" t="s">
        <v>83</v>
      </c>
      <c r="E32" s="320"/>
      <c r="F32" s="321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</row>
    <row r="33" spans="1:24" ht="54.75" customHeight="1" x14ac:dyDescent="0.25">
      <c r="A33" s="331"/>
      <c r="B33" s="331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</row>
    <row r="34" spans="1:24" ht="54.75" customHeight="1" x14ac:dyDescent="0.25">
      <c r="A34" s="371" t="s">
        <v>245</v>
      </c>
      <c r="B34" s="372"/>
      <c r="C34" s="356" t="s">
        <v>65</v>
      </c>
      <c r="D34" s="356"/>
      <c r="E34" s="356"/>
      <c r="F34" s="356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73"/>
      <c r="B35" s="374"/>
      <c r="C35" s="313" t="s">
        <v>28</v>
      </c>
      <c r="D35" s="310" t="s">
        <v>20</v>
      </c>
      <c r="E35" s="310"/>
      <c r="F35" s="310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  <c r="X35" s="4" t="s">
        <v>95</v>
      </c>
    </row>
    <row r="36" spans="1:24" ht="34.5" customHeight="1" x14ac:dyDescent="0.25">
      <c r="A36" s="373"/>
      <c r="B36" s="374"/>
      <c r="C36" s="313"/>
      <c r="D36" s="377" t="s">
        <v>21</v>
      </c>
      <c r="E36" s="377"/>
      <c r="F36" s="377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73"/>
      <c r="B37" s="374"/>
      <c r="C37" s="314" t="s">
        <v>29</v>
      </c>
      <c r="D37" s="311" t="s">
        <v>20</v>
      </c>
      <c r="E37" s="311"/>
      <c r="F37" s="311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73"/>
      <c r="B38" s="374"/>
      <c r="C38" s="314"/>
      <c r="D38" s="378" t="s">
        <v>21</v>
      </c>
      <c r="E38" s="378"/>
      <c r="F38" s="378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73"/>
      <c r="B39" s="374"/>
      <c r="C39" s="315" t="s">
        <v>241</v>
      </c>
      <c r="D39" s="329" t="s">
        <v>20</v>
      </c>
      <c r="E39" s="329"/>
      <c r="F39" s="329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75"/>
      <c r="B40" s="376"/>
      <c r="C40" s="315"/>
      <c r="D40" s="379" t="s">
        <v>21</v>
      </c>
      <c r="E40" s="379"/>
      <c r="F40" s="379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83"/>
      <c r="B41" s="384"/>
      <c r="C41" s="384"/>
      <c r="D41" s="384"/>
      <c r="E41" s="384"/>
      <c r="F41" s="384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5"/>
      <c r="U41" s="185"/>
      <c r="V41" s="185"/>
      <c r="W41" s="185"/>
    </row>
    <row r="42" spans="1:24" x14ac:dyDescent="0.25">
      <c r="A42" s="335" t="s">
        <v>240</v>
      </c>
      <c r="B42" s="335"/>
      <c r="C42" s="201" t="s">
        <v>30</v>
      </c>
      <c r="D42" s="319" t="s">
        <v>83</v>
      </c>
      <c r="E42" s="320"/>
      <c r="F42" s="321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31"/>
      <c r="B43" s="331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</row>
    <row r="44" spans="1:24" x14ac:dyDescent="0.25">
      <c r="A44" s="371" t="s">
        <v>91</v>
      </c>
      <c r="B44" s="372"/>
      <c r="C44" s="356" t="s">
        <v>65</v>
      </c>
      <c r="D44" s="356"/>
      <c r="E44" s="356"/>
      <c r="F44" s="356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73"/>
      <c r="B45" s="374"/>
      <c r="C45" s="313" t="s">
        <v>28</v>
      </c>
      <c r="D45" s="310" t="s">
        <v>20</v>
      </c>
      <c r="E45" s="310"/>
      <c r="F45" s="310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73"/>
      <c r="B46" s="374"/>
      <c r="C46" s="313"/>
      <c r="D46" s="377" t="s">
        <v>21</v>
      </c>
      <c r="E46" s="377"/>
      <c r="F46" s="377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73"/>
      <c r="B47" s="374"/>
      <c r="C47" s="314" t="s">
        <v>29</v>
      </c>
      <c r="D47" s="311" t="s">
        <v>20</v>
      </c>
      <c r="E47" s="311"/>
      <c r="F47" s="311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73"/>
      <c r="B48" s="374"/>
      <c r="C48" s="314"/>
      <c r="D48" s="378" t="s">
        <v>21</v>
      </c>
      <c r="E48" s="378"/>
      <c r="F48" s="378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73"/>
      <c r="B49" s="374"/>
      <c r="C49" s="315" t="s">
        <v>241</v>
      </c>
      <c r="D49" s="329" t="s">
        <v>20</v>
      </c>
      <c r="E49" s="329"/>
      <c r="F49" s="329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75"/>
      <c r="B50" s="376"/>
      <c r="C50" s="315"/>
      <c r="D50" s="379" t="s">
        <v>21</v>
      </c>
      <c r="E50" s="379"/>
      <c r="F50" s="379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  <mergeCell ref="D39:F39"/>
    <mergeCell ref="D40:F40"/>
    <mergeCell ref="A34:B40"/>
    <mergeCell ref="C34:F34"/>
    <mergeCell ref="C39:C40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</mergeCells>
  <pageMargins left="0.23622047244094491" right="0.23622047244094491" top="0.74803149606299213" bottom="0.74803149606299213" header="0.31496062992125984" footer="0.31496062992125984"/>
  <pageSetup paperSize="8" scale="36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U29"/>
  <sheetViews>
    <sheetView view="pageBreakPreview" zoomScale="60" zoomScaleNormal="70" workbookViewId="0">
      <selection activeCell="A5" sqref="A5:T5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1" ht="15" customHeight="1" x14ac:dyDescent="0.25">
      <c r="A1" s="14"/>
      <c r="B1" s="14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4"/>
      <c r="S1" s="14"/>
    </row>
    <row r="2" spans="1:21" ht="15" customHeight="1" x14ac:dyDescent="0.25">
      <c r="A2" s="14"/>
      <c r="B2" s="14"/>
      <c r="C2" s="5" t="s">
        <v>0</v>
      </c>
      <c r="D2" s="364" t="s">
        <v>40</v>
      </c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14"/>
    </row>
    <row r="3" spans="1:21" ht="15" customHeight="1" x14ac:dyDescent="0.25">
      <c r="A3" s="323" t="s">
        <v>2</v>
      </c>
      <c r="B3" s="323" t="s">
        <v>54</v>
      </c>
      <c r="C3" s="323" t="s">
        <v>3</v>
      </c>
      <c r="D3" s="324" t="s">
        <v>55</v>
      </c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  <c r="S3" s="324"/>
      <c r="T3" s="360" t="s">
        <v>21</v>
      </c>
    </row>
    <row r="4" spans="1:21" ht="15" customHeight="1" x14ac:dyDescent="0.25">
      <c r="A4" s="323"/>
      <c r="B4" s="323"/>
      <c r="C4" s="323"/>
      <c r="D4" s="263" t="s">
        <v>28</v>
      </c>
      <c r="E4" s="263" t="s">
        <v>29</v>
      </c>
      <c r="F4" s="263" t="s">
        <v>241</v>
      </c>
      <c r="G4" s="8" t="s">
        <v>4</v>
      </c>
      <c r="H4" s="8" t="s">
        <v>5</v>
      </c>
      <c r="I4" s="8" t="s">
        <v>115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101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60"/>
    </row>
    <row r="5" spans="1:21" ht="15" customHeight="1" x14ac:dyDescent="0.25">
      <c r="A5" s="367" t="s">
        <v>247</v>
      </c>
      <c r="B5" s="368"/>
      <c r="C5" s="368"/>
      <c r="D5" s="368"/>
      <c r="E5" s="368"/>
      <c r="F5" s="368"/>
      <c r="G5" s="368"/>
      <c r="H5" s="368"/>
      <c r="I5" s="368"/>
      <c r="J5" s="368"/>
      <c r="K5" s="368"/>
      <c r="L5" s="368"/>
      <c r="M5" s="368"/>
      <c r="N5" s="368"/>
      <c r="O5" s="368"/>
      <c r="P5" s="368"/>
      <c r="Q5" s="368"/>
      <c r="R5" s="368"/>
      <c r="S5" s="368"/>
      <c r="T5" s="369"/>
    </row>
    <row r="6" spans="1:21" ht="49.5" customHeight="1" x14ac:dyDescent="0.25">
      <c r="A6" s="360" t="s">
        <v>94</v>
      </c>
      <c r="B6" s="360"/>
      <c r="C6" s="9" t="s">
        <v>30</v>
      </c>
      <c r="D6" s="319" t="s">
        <v>41</v>
      </c>
      <c r="E6" s="320"/>
      <c r="F6" s="321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</row>
    <row r="7" spans="1:21" ht="49.5" customHeight="1" x14ac:dyDescent="0.25">
      <c r="A7" s="360"/>
      <c r="B7" s="360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</row>
    <row r="8" spans="1:21" ht="50.25" customHeight="1" x14ac:dyDescent="0.25">
      <c r="A8" s="335" t="s">
        <v>42</v>
      </c>
      <c r="B8" s="360" t="s">
        <v>111</v>
      </c>
      <c r="C8" s="9" t="s">
        <v>30</v>
      </c>
      <c r="D8" s="319" t="s">
        <v>24</v>
      </c>
      <c r="E8" s="320"/>
      <c r="F8" s="321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</row>
    <row r="9" spans="1:21" ht="50.25" customHeight="1" x14ac:dyDescent="0.25">
      <c r="A9" s="331"/>
      <c r="B9" s="360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</row>
    <row r="10" spans="1:21" ht="57" customHeight="1" x14ac:dyDescent="0.25">
      <c r="A10" s="335" t="s">
        <v>44</v>
      </c>
      <c r="B10" s="335"/>
      <c r="C10" s="9" t="s">
        <v>30</v>
      </c>
      <c r="D10" s="319" t="s">
        <v>45</v>
      </c>
      <c r="E10" s="320"/>
      <c r="F10" s="321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1" ht="57" customHeight="1" x14ac:dyDescent="0.25">
      <c r="A11" s="331"/>
      <c r="B11" s="331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1" x14ac:dyDescent="0.25">
      <c r="A12" s="371" t="s">
        <v>244</v>
      </c>
      <c r="B12" s="372"/>
      <c r="C12" s="356" t="s">
        <v>93</v>
      </c>
      <c r="D12" s="356"/>
      <c r="E12" s="356"/>
      <c r="F12" s="356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1" ht="25.5" customHeight="1" x14ac:dyDescent="0.25">
      <c r="A13" s="373"/>
      <c r="B13" s="374"/>
      <c r="C13" s="313" t="s">
        <v>28</v>
      </c>
      <c r="D13" s="310" t="s">
        <v>20</v>
      </c>
      <c r="E13" s="310"/>
      <c r="F13" s="310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1" ht="25.5" customHeight="1" x14ac:dyDescent="0.25">
      <c r="A14" s="373"/>
      <c r="B14" s="374"/>
      <c r="C14" s="313"/>
      <c r="D14" s="377" t="s">
        <v>21</v>
      </c>
      <c r="E14" s="377"/>
      <c r="F14" s="377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1" ht="25.5" customHeight="1" x14ac:dyDescent="0.25">
      <c r="A15" s="373"/>
      <c r="B15" s="374"/>
      <c r="C15" s="314" t="s">
        <v>29</v>
      </c>
      <c r="D15" s="311" t="s">
        <v>20</v>
      </c>
      <c r="E15" s="311"/>
      <c r="F15" s="311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1" ht="25.5" customHeight="1" x14ac:dyDescent="0.25">
      <c r="A16" s="373"/>
      <c r="B16" s="374"/>
      <c r="C16" s="314"/>
      <c r="D16" s="378" t="s">
        <v>21</v>
      </c>
      <c r="E16" s="378"/>
      <c r="F16" s="378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1" ht="25.5" customHeight="1" x14ac:dyDescent="0.25">
      <c r="A17" s="373"/>
      <c r="B17" s="374"/>
      <c r="C17" s="315" t="s">
        <v>241</v>
      </c>
      <c r="D17" s="329" t="s">
        <v>20</v>
      </c>
      <c r="E17" s="329"/>
      <c r="F17" s="329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1" ht="25.5" customHeight="1" x14ac:dyDescent="0.25">
      <c r="A18" s="375"/>
      <c r="B18" s="376"/>
      <c r="C18" s="315"/>
      <c r="D18" s="379" t="s">
        <v>21</v>
      </c>
      <c r="E18" s="379"/>
      <c r="F18" s="379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1" ht="18.75" x14ac:dyDescent="0.25">
      <c r="A19" s="386" t="s">
        <v>248</v>
      </c>
      <c r="B19" s="387"/>
      <c r="C19" s="387"/>
      <c r="D19" s="387"/>
      <c r="E19" s="387"/>
      <c r="F19" s="387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8"/>
    </row>
    <row r="20" spans="1:21" ht="105" x14ac:dyDescent="0.25">
      <c r="A20" s="335" t="s">
        <v>92</v>
      </c>
      <c r="B20" s="360" t="s">
        <v>113</v>
      </c>
      <c r="C20" s="9" t="s">
        <v>38</v>
      </c>
      <c r="D20" s="319" t="s">
        <v>36</v>
      </c>
      <c r="E20" s="320"/>
      <c r="F20" s="321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</row>
    <row r="21" spans="1:21" ht="32.25" customHeight="1" x14ac:dyDescent="0.25">
      <c r="A21" s="331"/>
      <c r="B21" s="360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</row>
    <row r="22" spans="1:21" ht="27.75" customHeight="1" x14ac:dyDescent="0.25">
      <c r="A22" s="371" t="s">
        <v>243</v>
      </c>
      <c r="B22" s="372"/>
      <c r="C22" s="356" t="s">
        <v>93</v>
      </c>
      <c r="D22" s="356"/>
      <c r="E22" s="356"/>
      <c r="F22" s="356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1" ht="33.75" customHeight="1" x14ac:dyDescent="0.25">
      <c r="A23" s="373"/>
      <c r="B23" s="374"/>
      <c r="C23" s="313" t="s">
        <v>28</v>
      </c>
      <c r="D23" s="310" t="s">
        <v>20</v>
      </c>
      <c r="E23" s="310"/>
      <c r="F23" s="310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1" ht="33.75" customHeight="1" x14ac:dyDescent="0.25">
      <c r="A24" s="373"/>
      <c r="B24" s="374"/>
      <c r="C24" s="313"/>
      <c r="D24" s="377" t="s">
        <v>21</v>
      </c>
      <c r="E24" s="377"/>
      <c r="F24" s="377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1" ht="33.75" customHeight="1" x14ac:dyDescent="0.25">
      <c r="A25" s="373"/>
      <c r="B25" s="374"/>
      <c r="C25" s="314" t="s">
        <v>29</v>
      </c>
      <c r="D25" s="311" t="s">
        <v>20</v>
      </c>
      <c r="E25" s="311"/>
      <c r="F25" s="311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1" ht="33.75" customHeight="1" x14ac:dyDescent="0.25">
      <c r="A26" s="373"/>
      <c r="B26" s="374"/>
      <c r="C26" s="314"/>
      <c r="D26" s="378" t="s">
        <v>21</v>
      </c>
      <c r="E26" s="378"/>
      <c r="F26" s="378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1" ht="33.75" customHeight="1" x14ac:dyDescent="0.25">
      <c r="A27" s="373"/>
      <c r="B27" s="374"/>
      <c r="C27" s="315" t="s">
        <v>241</v>
      </c>
      <c r="D27" s="329" t="s">
        <v>20</v>
      </c>
      <c r="E27" s="329"/>
      <c r="F27" s="329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1" ht="33.75" customHeight="1" x14ac:dyDescent="0.25">
      <c r="A28" s="375"/>
      <c r="B28" s="376"/>
      <c r="C28" s="315"/>
      <c r="D28" s="379" t="s">
        <v>21</v>
      </c>
      <c r="E28" s="379"/>
      <c r="F28" s="379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1" x14ac:dyDescent="0.25">
      <c r="A29" s="4" t="s">
        <v>96</v>
      </c>
    </row>
  </sheetData>
  <mergeCells count="44">
    <mergeCell ref="A8:A9"/>
    <mergeCell ref="A10:A11"/>
    <mergeCell ref="B10:B11"/>
    <mergeCell ref="D20:F20"/>
    <mergeCell ref="B20:B21"/>
    <mergeCell ref="B8:B9"/>
    <mergeCell ref="A20:A21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A22:B28"/>
    <mergeCell ref="C25:C26"/>
    <mergeCell ref="C27:C28"/>
    <mergeCell ref="C13:C14"/>
    <mergeCell ref="C15:C16"/>
    <mergeCell ref="C17:C18"/>
    <mergeCell ref="A12:B18"/>
  </mergeCells>
  <pageMargins left="0.25" right="0.25" top="0.75" bottom="0.75" header="0.3" footer="0.3"/>
  <pageSetup paperSize="8" scale="41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topLeftCell="D1" zoomScale="60" zoomScaleNormal="70" workbookViewId="0">
      <selection activeCell="P15" sqref="A4:U20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1" ht="15.75" customHeight="1" x14ac:dyDescent="0.25">
      <c r="A1" s="172"/>
      <c r="B1" s="172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72"/>
      <c r="S1" s="172"/>
      <c r="T1" s="172"/>
    </row>
    <row r="2" spans="1:21" x14ac:dyDescent="0.25">
      <c r="A2" s="172"/>
      <c r="B2" s="172"/>
      <c r="C2" s="43" t="s">
        <v>0</v>
      </c>
      <c r="D2" s="416" t="s">
        <v>46</v>
      </c>
      <c r="E2" s="416"/>
      <c r="F2" s="416"/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2"/>
      <c r="S2" s="42"/>
      <c r="T2" s="42"/>
    </row>
    <row r="3" spans="1:21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1" ht="1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</row>
    <row r="5" spans="1:2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</row>
    <row r="6" spans="1:2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1" ht="47.25" customHeight="1" x14ac:dyDescent="0.25">
      <c r="A7" s="407" t="s">
        <v>47</v>
      </c>
      <c r="B7" s="410" t="s">
        <v>48</v>
      </c>
      <c r="C7" s="23" t="s">
        <v>48</v>
      </c>
      <c r="D7" s="389" t="s">
        <v>31</v>
      </c>
      <c r="E7" s="390"/>
      <c r="F7" s="391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</row>
    <row r="8" spans="1:21" ht="31.5" customHeight="1" x14ac:dyDescent="0.25">
      <c r="A8" s="408"/>
      <c r="B8" s="411"/>
      <c r="C8" s="413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</row>
    <row r="9" spans="1:21" x14ac:dyDescent="0.25">
      <c r="A9" s="408"/>
      <c r="B9" s="411"/>
      <c r="C9" s="414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</row>
    <row r="10" spans="1:21" x14ac:dyDescent="0.25">
      <c r="A10" s="409"/>
      <c r="B10" s="412"/>
      <c r="C10" s="415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</row>
    <row r="11" spans="1:21" ht="25.5" customHeight="1" x14ac:dyDescent="0.25">
      <c r="A11" s="392" t="s">
        <v>73</v>
      </c>
      <c r="B11" s="393"/>
      <c r="C11" s="398" t="s">
        <v>66</v>
      </c>
      <c r="D11" s="398"/>
      <c r="E11" s="398"/>
      <c r="F11" s="398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1" ht="25.5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1" ht="25.5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1" ht="25.5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1" ht="35.25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1" ht="25.5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</mergeCells>
  <pageMargins left="0.25" right="0.25" top="0.75" bottom="0.75" header="0.3" footer="0.3"/>
  <pageSetup paperSize="9" scale="4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topLeftCell="B1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22" t="s">
        <v>50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</row>
    <row r="5" spans="1:2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</row>
    <row r="6" spans="1:21" ht="15.75" customHeight="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1" ht="47.25" customHeight="1" x14ac:dyDescent="0.25">
      <c r="A7" s="407" t="s">
        <v>47</v>
      </c>
      <c r="B7" s="410" t="s">
        <v>114</v>
      </c>
      <c r="C7" s="23" t="s">
        <v>48</v>
      </c>
      <c r="D7" s="389" t="s">
        <v>31</v>
      </c>
      <c r="E7" s="390"/>
      <c r="F7" s="391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</row>
    <row r="8" spans="1:21" ht="44.25" customHeight="1" x14ac:dyDescent="0.25">
      <c r="A8" s="408"/>
      <c r="B8" s="411"/>
      <c r="C8" s="413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</row>
    <row r="9" spans="1:21" ht="44.25" customHeight="1" x14ac:dyDescent="0.25">
      <c r="A9" s="408"/>
      <c r="B9" s="411"/>
      <c r="C9" s="414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</row>
    <row r="10" spans="1:21" ht="44.25" customHeight="1" x14ac:dyDescent="0.25">
      <c r="A10" s="409"/>
      <c r="B10" s="412"/>
      <c r="C10" s="415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</row>
    <row r="11" spans="1:21" ht="32.25" customHeight="1" x14ac:dyDescent="0.25">
      <c r="A11" s="392" t="s">
        <v>91</v>
      </c>
      <c r="B11" s="393"/>
      <c r="C11" s="398" t="s">
        <v>66</v>
      </c>
      <c r="D11" s="398"/>
      <c r="E11" s="398"/>
      <c r="F11" s="398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1" ht="32.25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1" ht="32.25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1" ht="32.25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1" ht="32.25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1" ht="32.25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</mergeCells>
  <pageMargins left="0.25" right="0.25" top="0.75" bottom="0.75" header="0.3" footer="0.3"/>
  <pageSetup paperSize="9" scale="41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1" ht="15.75" customHeight="1" x14ac:dyDescent="0.25">
      <c r="A1" s="54"/>
      <c r="B1" s="54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54"/>
      <c r="S1" s="54"/>
      <c r="T1" s="54"/>
    </row>
    <row r="2" spans="1:21" ht="31.5" customHeight="1" x14ac:dyDescent="0.25">
      <c r="A2" s="54"/>
      <c r="B2" s="54"/>
      <c r="C2" s="55" t="s">
        <v>0</v>
      </c>
      <c r="D2" s="425" t="s">
        <v>51</v>
      </c>
      <c r="E2" s="425"/>
      <c r="F2" s="425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6"/>
    </row>
    <row r="3" spans="1:21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1" ht="31.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</row>
    <row r="5" spans="1:2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</row>
    <row r="6" spans="1:21" ht="15.75" customHeight="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1" ht="31.5" customHeight="1" x14ac:dyDescent="0.25">
      <c r="A7" s="424" t="s">
        <v>47</v>
      </c>
      <c r="B7" s="424" t="s">
        <v>114</v>
      </c>
      <c r="C7" s="23" t="s">
        <v>48</v>
      </c>
      <c r="D7" s="389" t="s">
        <v>31</v>
      </c>
      <c r="E7" s="390"/>
      <c r="F7" s="391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24"/>
      <c r="B8" s="424"/>
      <c r="C8" s="413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</row>
    <row r="9" spans="1:21" ht="47.25" customHeight="1" x14ac:dyDescent="0.25">
      <c r="A9" s="424"/>
      <c r="B9" s="424"/>
      <c r="C9" s="414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</row>
    <row r="10" spans="1:21" ht="47.25" customHeight="1" x14ac:dyDescent="0.25">
      <c r="A10" s="424"/>
      <c r="B10" s="424"/>
      <c r="C10" s="415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</row>
    <row r="11" spans="1:21" ht="27" customHeight="1" x14ac:dyDescent="0.25">
      <c r="A11" s="392" t="s">
        <v>91</v>
      </c>
      <c r="B11" s="393"/>
      <c r="C11" s="398" t="s">
        <v>66</v>
      </c>
      <c r="D11" s="398"/>
      <c r="E11" s="398"/>
      <c r="F11" s="398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1" ht="27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1" ht="27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1" ht="27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1" ht="27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1" ht="27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</mergeCells>
  <pageMargins left="0.25" right="0.25" top="0.75" bottom="0.75" header="0.3" footer="0.3"/>
  <pageSetup paperSize="9" scale="42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22" t="s">
        <v>52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</row>
    <row r="5" spans="1:2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</row>
    <row r="6" spans="1:21" ht="15.75" customHeight="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1" ht="31.5" customHeight="1" x14ac:dyDescent="0.25">
      <c r="A7" s="424" t="s">
        <v>47</v>
      </c>
      <c r="B7" s="424" t="s">
        <v>114</v>
      </c>
      <c r="C7" s="23" t="s">
        <v>48</v>
      </c>
      <c r="D7" s="389" t="s">
        <v>31</v>
      </c>
      <c r="E7" s="390"/>
      <c r="F7" s="391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24"/>
      <c r="B8" s="424"/>
      <c r="C8" s="413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</row>
    <row r="9" spans="1:21" ht="47.25" customHeight="1" x14ac:dyDescent="0.25">
      <c r="A9" s="424"/>
      <c r="B9" s="424"/>
      <c r="C9" s="414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</row>
    <row r="10" spans="1:21" ht="47.25" customHeight="1" x14ac:dyDescent="0.25">
      <c r="A10" s="424"/>
      <c r="B10" s="424"/>
      <c r="C10" s="415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</row>
    <row r="11" spans="1:21" ht="42.75" customHeight="1" x14ac:dyDescent="0.25">
      <c r="A11" s="392" t="s">
        <v>91</v>
      </c>
      <c r="B11" s="393"/>
      <c r="C11" s="398" t="s">
        <v>66</v>
      </c>
      <c r="D11" s="398"/>
      <c r="E11" s="398"/>
      <c r="F11" s="398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1" ht="42.75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1" ht="42.75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1" ht="42.75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1" ht="42.75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1" ht="42.75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2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R14" sqref="R14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7" t="s">
        <v>53</v>
      </c>
      <c r="E2" s="427"/>
      <c r="F2" s="427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8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54" ht="31.5" customHeight="1" x14ac:dyDescent="0.25">
      <c r="A7" s="424" t="s">
        <v>47</v>
      </c>
      <c r="B7" s="424" t="s">
        <v>114</v>
      </c>
      <c r="C7" s="23" t="s">
        <v>48</v>
      </c>
      <c r="D7" s="389" t="s">
        <v>31</v>
      </c>
      <c r="E7" s="390"/>
      <c r="F7" s="391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</row>
    <row r="8" spans="1:254" ht="47.25" customHeight="1" x14ac:dyDescent="0.25">
      <c r="A8" s="424"/>
      <c r="B8" s="424"/>
      <c r="C8" s="413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</row>
    <row r="9" spans="1:254" ht="47.25" customHeight="1" x14ac:dyDescent="0.25">
      <c r="A9" s="424"/>
      <c r="B9" s="424"/>
      <c r="C9" s="414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</row>
    <row r="10" spans="1:254" ht="47.25" customHeight="1" x14ac:dyDescent="0.25">
      <c r="A10" s="424"/>
      <c r="B10" s="424"/>
      <c r="C10" s="415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</row>
    <row r="11" spans="1:254" ht="40.5" customHeight="1" x14ac:dyDescent="0.25">
      <c r="A11" s="392" t="s">
        <v>91</v>
      </c>
      <c r="B11" s="393"/>
      <c r="C11" s="398" t="s">
        <v>66</v>
      </c>
      <c r="D11" s="398"/>
      <c r="E11" s="398"/>
      <c r="F11" s="398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ЦСП_ЭБ</vt:lpstr>
      <vt:lpstr>ЭБ_ЦСП_XML1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2019-05-29T21:00:54Z</dcterms:modified>
</cp:coreProperties>
</file>